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1745" activeTab="3"/>
  </bookViews>
  <sheets>
    <sheet name="فرم درخواست انتقال خودکار" sheetId="2" r:id="rId1"/>
    <sheet name="تعهد مسدودی حساب" sheetId="5" r:id="rId2"/>
    <sheet name=" وکالت نامه ( 2نسخه تهیه شود )" sheetId="4" r:id="rId3"/>
    <sheet name="درخواست تسهیلات خرید کالا" sheetId="3" r:id="rId4"/>
    <sheet name="جدول محاسبات" sheetId="7" r:id="rId5"/>
  </sheets>
  <definedNames>
    <definedName name="_xlnm.Print_Area" localSheetId="1">'تعهد مسدودی حساب'!$B$3:$N$33</definedName>
    <definedName name="_xlnm.Print_Area" localSheetId="4">'جدول محاسبات'!$A$1:$R$10</definedName>
    <definedName name="_xlnm.Print_Area" localSheetId="3">'درخواست تسهیلات خرید کالا'!$A$1:$K$17</definedName>
    <definedName name="_xlnm.Print_Area" localSheetId="0">'فرم درخواست انتقال خودکار'!$B$2:$N$19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9" i="7" l="1"/>
  <c r="H9" i="7"/>
  <c r="I9" i="7" s="1"/>
  <c r="K8" i="7"/>
  <c r="H8" i="7"/>
  <c r="N8" i="7" s="1"/>
  <c r="K7" i="7"/>
  <c r="H7" i="7"/>
  <c r="I7" i="7" s="1"/>
  <c r="K6" i="7"/>
  <c r="H6" i="7"/>
  <c r="N6" i="7" s="1"/>
  <c r="K5" i="7"/>
  <c r="H5" i="7"/>
  <c r="I5" i="7" s="1"/>
  <c r="E7" i="4"/>
  <c r="M5" i="7" l="1"/>
  <c r="G5" i="7"/>
  <c r="O6" i="7"/>
  <c r="P6" i="7"/>
  <c r="Q6" i="7" s="1"/>
  <c r="G7" i="7"/>
  <c r="M7" i="7"/>
  <c r="M9" i="7"/>
  <c r="G9" i="7"/>
  <c r="O8" i="7"/>
  <c r="P8" i="7" s="1"/>
  <c r="Q8" i="7" s="1"/>
  <c r="N5" i="7"/>
  <c r="N9" i="7"/>
  <c r="I6" i="7"/>
  <c r="I8" i="7"/>
  <c r="N7" i="7"/>
  <c r="E7" i="3"/>
  <c r="M8" i="7" l="1"/>
  <c r="G8" i="7"/>
  <c r="O5" i="7"/>
  <c r="P5" i="7"/>
  <c r="Q5" i="7" s="1"/>
  <c r="O9" i="7"/>
  <c r="P9" i="7" s="1"/>
  <c r="Q9" i="7" s="1"/>
  <c r="G6" i="7"/>
  <c r="M6" i="7"/>
  <c r="O7" i="7"/>
  <c r="P7" i="7" s="1"/>
  <c r="Q7" i="7" s="1"/>
</calcChain>
</file>

<file path=xl/sharedStrings.xml><?xml version="1.0" encoding="utf-8"?>
<sst xmlns="http://schemas.openxmlformats.org/spreadsheetml/2006/main" count="74" uniqueCount="68">
  <si>
    <t>فرم درخواست انتقال خودکار</t>
  </si>
  <si>
    <t>دوره انتقال</t>
  </si>
  <si>
    <t>حداقل موجودی پس از پرداخت خودکار</t>
  </si>
  <si>
    <t>روز در هفته ......................</t>
  </si>
  <si>
    <t xml:space="preserve">روز در هفته ...................... </t>
  </si>
  <si>
    <t>توجه: در انتقال خودکار سپرده ها، موجودی سپرده مبدأ بدون در نظر گرفتن سپرده پشتیبان آن لحاظ می شود..</t>
  </si>
  <si>
    <t>مهر و امضاء شعبه</t>
  </si>
  <si>
    <t>امضاء متقاضی</t>
  </si>
  <si>
    <t>مبلغ انتقال</t>
  </si>
  <si>
    <t>کد فرم : 7/00/11048</t>
  </si>
  <si>
    <t>این فرم از طریق سامانه بخشنامه ها به آدرس rulse.ebanksepah.net در دسترس و قابل چاپ است</t>
  </si>
  <si>
    <r>
      <rPr>
        <sz val="12"/>
        <color theme="1"/>
        <rFont val="Wingdings"/>
        <charset val="2"/>
      </rPr>
      <t>¨</t>
    </r>
    <r>
      <rPr>
        <sz val="12"/>
        <color theme="1"/>
        <rFont val="B Nazanin"/>
        <charset val="178"/>
      </rPr>
      <t>روزانه</t>
    </r>
  </si>
  <si>
    <r>
      <t xml:space="preserve">روز در هفته ......................   روز در ماه .......................      </t>
    </r>
    <r>
      <rPr>
        <sz val="12"/>
        <color theme="1"/>
        <rFont val="Wingdings"/>
        <charset val="2"/>
      </rPr>
      <t>¨</t>
    </r>
    <r>
      <rPr>
        <sz val="12"/>
        <color theme="1"/>
        <rFont val="B Nazanin"/>
        <charset val="178"/>
      </rPr>
      <t xml:space="preserve"> روز آخر ماه</t>
    </r>
  </si>
  <si>
    <r>
      <rPr>
        <sz val="12"/>
        <color theme="1"/>
        <rFont val="Wingdings"/>
        <charset val="2"/>
      </rPr>
      <t>¨</t>
    </r>
    <r>
      <rPr>
        <sz val="12"/>
        <color theme="1"/>
        <rFont val="B Nazanin"/>
        <charset val="178"/>
      </rPr>
      <t>هفتگی</t>
    </r>
  </si>
  <si>
    <r>
      <t xml:space="preserve">روز در ماه .......................      </t>
    </r>
    <r>
      <rPr>
        <sz val="12"/>
        <color theme="1"/>
        <rFont val="Wingdings"/>
        <charset val="2"/>
      </rPr>
      <t>¨</t>
    </r>
    <r>
      <rPr>
        <sz val="12"/>
        <color theme="1"/>
        <rFont val="B Nazanin"/>
        <charset val="178"/>
      </rPr>
      <t xml:space="preserve"> روز آخر ماه</t>
    </r>
  </si>
  <si>
    <t xml:space="preserve">      بانک سپه - شعبه قائم مقام فراهانی  شاخص .......................</t>
  </si>
  <si>
    <r>
      <t xml:space="preserve">روز در ماه .......................      </t>
    </r>
    <r>
      <rPr>
        <sz val="12"/>
        <color theme="1"/>
        <rFont val="Arial"/>
        <family val="2"/>
      </rPr>
      <t>▀</t>
    </r>
    <r>
      <rPr>
        <sz val="12"/>
        <color theme="1"/>
        <rFont val="B Nazanin"/>
        <charset val="178"/>
      </rPr>
      <t>روز آخر ماه</t>
    </r>
  </si>
  <si>
    <r>
      <rPr>
        <sz val="12"/>
        <color theme="1"/>
        <rFont val="Arial"/>
        <family val="2"/>
      </rPr>
      <t>▀</t>
    </r>
    <r>
      <rPr>
        <sz val="12"/>
        <color theme="1"/>
        <rFont val="B Nazanin"/>
        <charset val="178"/>
      </rPr>
      <t>ماهانه</t>
    </r>
  </si>
  <si>
    <r>
      <rPr>
        <sz val="14"/>
        <color theme="1"/>
        <rFont val="Wingdings"/>
        <charset val="2"/>
      </rPr>
      <t>¨</t>
    </r>
    <r>
      <rPr>
        <sz val="14"/>
        <color theme="1"/>
        <rFont val="B Nazanin"/>
        <charset val="178"/>
      </rPr>
      <t xml:space="preserve">حداقل موجودی پس از پرداخت خودکار .......................................ریال              
</t>
    </r>
    <r>
      <rPr>
        <sz val="14"/>
        <color theme="1"/>
        <rFont val="Wingdings"/>
        <charset val="2"/>
      </rPr>
      <t>¨</t>
    </r>
    <r>
      <rPr>
        <sz val="14"/>
        <color theme="1"/>
        <rFont val="B Nazanin"/>
        <charset val="178"/>
      </rPr>
      <t xml:space="preserve"> برداشت اجباری (عدم رعایت حداقل موجودی پس از پرداخت خودکار)                                    </t>
    </r>
  </si>
  <si>
    <t>درخواست تسهیلات خرید کالا</t>
  </si>
  <si>
    <t>مجموع اقساط (ریال)</t>
  </si>
  <si>
    <t>تعداد اقساط مساوی</t>
  </si>
  <si>
    <t>مبلغ هر قسط (ریال )</t>
  </si>
  <si>
    <t>تاریخ اولین برداشت</t>
  </si>
  <si>
    <t xml:space="preserve">تاریخ آخرین </t>
  </si>
  <si>
    <t>مهر و امضای شرکت ( پذیرنده )</t>
  </si>
  <si>
    <r>
      <rPr>
        <b/>
        <sz val="14"/>
        <color rgb="FF000000"/>
        <rFont val="B Nazanin"/>
        <charset val="178"/>
      </rPr>
      <t xml:space="preserve"> مدیریت محترم شرکت واسپاری ارزش آفرین گلرنگ </t>
    </r>
    <r>
      <rPr>
        <b/>
        <sz val="12"/>
        <color rgb="FF000000"/>
        <rFont val="B Nazanin"/>
        <charset val="178"/>
      </rPr>
      <t xml:space="preserve">
با سلام
احتراماً ضمن تایید مراتب فوق ، کسر حقوق مشتری مربوطه ثبت و اولین قسط در تاریخ                               کسر خواهد شد.                                                                                                                                                                                                                                                                            
</t>
    </r>
  </si>
  <si>
    <r>
      <rPr>
        <b/>
        <u/>
        <sz val="18"/>
        <color theme="1"/>
        <rFont val="B Nazanin"/>
        <charset val="178"/>
      </rPr>
      <t>وکالتنامه</t>
    </r>
    <r>
      <rPr>
        <b/>
        <u/>
        <sz val="6"/>
        <color theme="1"/>
        <rFont val="B Nazanin"/>
        <charset val="178"/>
      </rPr>
      <t xml:space="preserve"> </t>
    </r>
  </si>
  <si>
    <t>مجموعه بدهی ریال</t>
  </si>
  <si>
    <t>مبلغ هر قسط به ریال</t>
  </si>
  <si>
    <t xml:space="preserve">                                     شرکت واسپاری ارزش آفرین گلرنگ</t>
  </si>
  <si>
    <t>نسخه 1 فروشگاه</t>
  </si>
  <si>
    <t xml:space="preserve">نسخه 2 بانک عامل </t>
  </si>
  <si>
    <t xml:space="preserve">نسخه 3 شرکت </t>
  </si>
  <si>
    <t>بسمه تعالی</t>
  </si>
  <si>
    <t>نام و نام خانوادگی
امضاء</t>
  </si>
  <si>
    <t>اثر  انگشت</t>
  </si>
  <si>
    <t>لیست محاسبات</t>
  </si>
  <si>
    <t>نرخ مشتری</t>
  </si>
  <si>
    <t>نرخ موثر</t>
  </si>
  <si>
    <t>مدت قرارداد</t>
  </si>
  <si>
    <t>گام کاهش</t>
  </si>
  <si>
    <t>اصل  تسهیلات</t>
  </si>
  <si>
    <t>فرع تسهیلات</t>
  </si>
  <si>
    <t>مبلغ  قسط</t>
  </si>
  <si>
    <t xml:space="preserve">اصل و فرع تسهیلات </t>
  </si>
  <si>
    <t>نرخ کارمزد</t>
  </si>
  <si>
    <t>مبلغ کارمزد</t>
  </si>
  <si>
    <t>نرخ کارمزد بانک</t>
  </si>
  <si>
    <t>مبلغ کارمزد بانک</t>
  </si>
  <si>
    <t>مبلغ تخفیف و توسعه</t>
  </si>
  <si>
    <t>ارزش افزوده</t>
  </si>
  <si>
    <t>جمع کسورات</t>
  </si>
  <si>
    <t>دریافتی تامین کننده</t>
  </si>
  <si>
    <r>
      <t xml:space="preserve">اینجانب آقای / خانم / شرکت </t>
    </r>
    <r>
      <rPr>
        <sz val="14"/>
        <color rgb="FFFF0000"/>
        <rFont val="B Nazanin"/>
        <charset val="178"/>
      </rPr>
      <t>حسن قیدی</t>
    </r>
    <r>
      <rPr>
        <sz val="14"/>
        <color rgb="FF000000"/>
        <rFont val="B Nazanin"/>
        <charset val="178"/>
      </rPr>
      <t xml:space="preserve"> شماره شناسنامه / ثبت </t>
    </r>
    <r>
      <rPr>
        <sz val="14"/>
        <color rgb="FFFF0000"/>
        <rFont val="B Nazanin"/>
        <charset val="178"/>
      </rPr>
      <t>....31....</t>
    </r>
    <r>
      <rPr>
        <sz val="14"/>
        <color rgb="FF000000"/>
        <rFont val="B Nazanin"/>
        <charset val="178"/>
      </rPr>
      <t>. کد / شناسنامه ملی</t>
    </r>
    <r>
      <rPr>
        <sz val="14"/>
        <color rgb="FFFF0000"/>
        <rFont val="B Nazanin"/>
        <charset val="178"/>
      </rPr>
      <t xml:space="preserve"> ........0451989449......</t>
    </r>
    <r>
      <rPr>
        <sz val="14"/>
        <color rgb="FF000000"/>
        <rFont val="B Nazanin"/>
        <charset val="178"/>
      </rPr>
      <t xml:space="preserve">
محل صدور / ثبت </t>
    </r>
    <r>
      <rPr>
        <sz val="14"/>
        <color rgb="FFFF0000"/>
        <rFont val="B Nazanin"/>
        <charset val="178"/>
      </rPr>
      <t xml:space="preserve">تهران    </t>
    </r>
    <r>
      <rPr>
        <sz val="14"/>
        <color rgb="FF000000"/>
        <rFont val="B Nazanin"/>
        <charset val="178"/>
      </rPr>
      <t xml:space="preserve"> خواهشمند است نسبت به انتقال خودکار وجوه اینجانب به شرح زیر اقدام نمایند.</t>
    </r>
  </si>
  <si>
    <t xml:space="preserve">                                                                            تاریخ: 29    /  11    / 1403</t>
  </si>
  <si>
    <r>
      <rPr>
        <sz val="14"/>
        <color theme="1"/>
        <rFont val="Wingdings"/>
        <charset val="2"/>
      </rPr>
      <t>¨</t>
    </r>
    <r>
      <rPr>
        <sz val="14"/>
        <color theme="1"/>
        <rFont val="B Nazanin"/>
        <charset val="178"/>
      </rPr>
      <t xml:space="preserve"> مبلغ ثابت</t>
    </r>
    <r>
      <rPr>
        <sz val="14"/>
        <color rgb="FFFF0000"/>
        <rFont val="B Nazanin"/>
        <charset val="178"/>
      </rPr>
      <t>.......26719266......</t>
    </r>
    <r>
      <rPr>
        <sz val="14"/>
        <color theme="1"/>
        <rFont val="B Nazanin"/>
        <charset val="178"/>
      </rPr>
      <t xml:space="preserve"> ریال               
</t>
    </r>
    <r>
      <rPr>
        <sz val="14"/>
        <color theme="1"/>
        <rFont val="Wingdings"/>
        <charset val="2"/>
      </rPr>
      <t>¨</t>
    </r>
    <r>
      <rPr>
        <sz val="14"/>
        <color theme="1"/>
        <rFont val="B Nazanin"/>
        <charset val="178"/>
      </rPr>
      <t xml:space="preserve"> موجودی قابل برداشت                                      </t>
    </r>
  </si>
  <si>
    <r>
      <t xml:space="preserve">شماره سپرده مبدأ3101121559714 </t>
    </r>
    <r>
      <rPr>
        <sz val="14"/>
        <color rgb="FFFF0000"/>
        <rFont val="B Nazanin"/>
        <charset val="178"/>
      </rPr>
      <t xml:space="preserve">  </t>
    </r>
    <r>
      <rPr>
        <sz val="14"/>
        <color theme="1"/>
        <rFont val="B Nazanin"/>
        <charset val="178"/>
      </rPr>
      <t xml:space="preserve">             نام صاحب / صاحبان / شرکت سپرده مبدأ </t>
    </r>
    <r>
      <rPr>
        <sz val="14"/>
        <color rgb="FFFF0000"/>
        <rFont val="B Nazanin"/>
        <charset val="178"/>
      </rPr>
      <t>.........حسن قیدی........</t>
    </r>
    <r>
      <rPr>
        <sz val="14"/>
        <color theme="1"/>
        <rFont val="B Nazanin"/>
        <charset val="178"/>
      </rPr>
      <t xml:space="preserve">    
شماره سپرده مقصد 19923003172110                       نام صاحب / صاحبان / شرکت سپرده مقصد : واسپاری ارزش آفرین گلرنگ    
تاریخ شروع انتقال1403/12/30         تاریخ پایان انتقال1405/11/30</t>
    </r>
  </si>
  <si>
    <t>اینجانب حسن قیدی     .فرزند .......محمد..... به شماره ملی ........0451989449............. متعهد می گردم در زمان سر رسید اقساط ماهیانه خود به مبلغ  ..26719266..... از تاریخ 1403/12/30 الی . 1405/11/30  مبلغ اقساط را پس از واریز حقوق در حساب بانک سپه به شماره 3101121559714 نگه داشته و از جابجایی مبلغ قسط خودداری نمایم.
در صورت عدم امکان برداشت از حساب بانک سپه طبق مفاد وکالتنامه این حق را دارا می باشد تا زمان واریزی اقساط اینجانب حساب را مسدود نمایند.</t>
  </si>
  <si>
    <t>1403/12/30</t>
  </si>
  <si>
    <t>1405/11/30</t>
  </si>
  <si>
    <r>
      <rPr>
        <b/>
        <sz val="12"/>
        <color rgb="FF000000"/>
        <rFont val="B Titr"/>
        <charset val="178"/>
      </rPr>
      <t xml:space="preserve">ریاست محترم بانک سپه  شعبه قائم مقام فراهانی
</t>
    </r>
    <r>
      <rPr>
        <b/>
        <sz val="12"/>
        <color rgb="FF000000"/>
        <rFont val="B Nazanin"/>
        <charset val="178"/>
      </rPr>
      <t>با سلام    احتراماً  پیرو توافق صورت گرفته تفاهم نامه شماره GLV/811  مورخ 1403/07/18 در خصوص کسر  اقساط  بازنشستگان  و  کارکنان  نیروهای  مسلح  بدینوسیله 
آقای/خانم         حسن قیدی                          به کد ملی                      0451989449             جهت کسر اقساط شرکت  واسپاری ارزش آفرین گلرنگ به شناسه ملی 14005881961
مطابق شرایط ذیل به حضور معرفی میگردد خواهشمند است در زمینه  کسر اقساط مطابق جدول ذیل مساعدت و همکاری لازم را مبذول فرمایید.</t>
    </r>
  </si>
  <si>
    <r>
      <rPr>
        <b/>
        <sz val="12"/>
        <color rgb="FF000000"/>
        <rFont val="B Titr"/>
        <charset val="178"/>
      </rPr>
      <t>مدیریت محترم شرکت واسپاری ارزش آفرین گلرنگ</t>
    </r>
    <r>
      <rPr>
        <b/>
        <sz val="12"/>
        <color rgb="FF000000"/>
        <rFont val="B Nazanin"/>
        <charset val="178"/>
      </rPr>
      <t xml:space="preserve">
</t>
    </r>
    <r>
      <rPr>
        <b/>
        <sz val="14"/>
        <color rgb="FF000000"/>
        <rFont val="B Nazanin"/>
        <charset val="178"/>
      </rPr>
      <t>با سلام و احترام
 اینجانب آقای/خانم:                    حسن قیدی                   فرزند:        محمد           دارای شماره شناسنامه:           31       شماره ملی:      0451989449                     صادره از:                    تهران         نشانی منزل:   نهرانپارس خیابان استخر خیابان مسرور پلاک11</t>
    </r>
    <r>
      <rPr>
        <b/>
        <sz val="14"/>
        <color theme="1"/>
        <rFont val="B Nazanin"/>
        <charset val="178"/>
      </rPr>
      <t xml:space="preserve">
تلفن همراه :     09196097462                       نشانی محل کار:بازنشسته</t>
    </r>
    <r>
      <rPr>
        <b/>
        <i/>
        <sz val="14"/>
        <color rgb="FFFF0000"/>
        <rFont val="B Nazanin"/>
        <charset val="178"/>
      </rPr>
      <t xml:space="preserve">                               </t>
    </r>
    <r>
      <rPr>
        <b/>
        <sz val="14"/>
        <color rgb="FF000000"/>
        <rFont val="B Nazanin"/>
        <charset val="178"/>
      </rPr>
      <t xml:space="preserve">                                              جهت خرید         گوشی موبایل سامسونگ                       از شرکت / فروشگاه   دیجی بایل                    متقاضی دریافت تسهیلات خرید کالا از آن شرکت محترم می باشم ، لذا با اطلاع کامل از مبلغ و نوع تسهیلات ، دوره بازپرداخت و مبلغ اقساط خواهشمند است با درخواست اینجانب در صورت امکان مساعدت  نمایید.                   
             </t>
    </r>
    <r>
      <rPr>
        <b/>
        <sz val="12"/>
        <color rgb="FF000000"/>
        <rFont val="B Nazanin"/>
        <charset val="178"/>
      </rPr>
      <t xml:space="preserve">
                                                                                                                                                                                          امضاء و اثر انگشت موکل
                                                                                                                                                                                                       تاریخ 
     </t>
    </r>
  </si>
  <si>
    <r>
      <rPr>
        <b/>
        <sz val="12"/>
        <color rgb="FF000000"/>
        <rFont val="B Titr"/>
        <charset val="178"/>
      </rPr>
      <t xml:space="preserve">مدیریت محترم شرکت واسپاری ارزش آفرین گلرنگ </t>
    </r>
    <r>
      <rPr>
        <b/>
        <sz val="12"/>
        <color rgb="FF000000"/>
        <rFont val="B Nazanin"/>
        <charset val="178"/>
      </rPr>
      <t xml:space="preserve">
با سلام    احتراماً  پیرو توافق صورت گرفته با خانم / آقای            حسن قیدی                     و بررسی مدارک هویتی و شغلی نامبرده ، تسهیلات مطابق جدول ذیل درخواست می گردد، خواهشمند است  مساعدت و همکاری لازم را مبذول فرمایید. </t>
    </r>
  </si>
  <si>
    <t xml:space="preserve"> تاریخ:  1403/11/29</t>
  </si>
  <si>
    <t xml:space="preserve">تاریخ :   1403/11/29 </t>
  </si>
  <si>
    <r>
      <rPr>
        <b/>
        <sz val="14"/>
        <color rgb="FF000000"/>
        <rFont val="B Nazanin"/>
        <charset val="178"/>
      </rPr>
      <t xml:space="preserve"> مدیریت محترم شرکت واسپاری ارزش آفرین گلرنگ </t>
    </r>
    <r>
      <rPr>
        <b/>
        <sz val="12"/>
        <color rgb="FF000000"/>
        <rFont val="B Nazanin"/>
        <charset val="178"/>
      </rPr>
      <t xml:space="preserve">
با سلام
احتراماً ضمن تایید مراتب فوق ، کسر حقوق مشتری مربوطه ثبت و اولین قسط در تاریخ               1403/12/30                   کسر خواهد شد.          
                                                                                                                                                                                                                                                                                                                                                                                                                     ریاست بانک سپه 
                                                                                                                                                                   شعبه قائم مقام فراهانی
</t>
    </r>
  </si>
  <si>
    <r>
      <rPr>
        <b/>
        <sz val="12"/>
        <color rgb="FF000000"/>
        <rFont val="B Titr"/>
        <charset val="178"/>
      </rPr>
      <t>ریاست محترم بانک سپه شعبه قائم مقام فراهانی</t>
    </r>
    <r>
      <rPr>
        <b/>
        <sz val="12"/>
        <color rgb="FF000000"/>
        <rFont val="B Nazanin"/>
        <charset val="178"/>
      </rPr>
      <t xml:space="preserve">
</t>
    </r>
    <r>
      <rPr>
        <b/>
        <sz val="14"/>
        <color rgb="FF000000"/>
        <rFont val="B Nazanin"/>
        <charset val="178"/>
      </rPr>
      <t>با سلام 
احترامآ اینجانب آقای/خانم:                   حسن قیدی                    فرزند:           محمد        دارای شماره شناسنامه:           31       شماره ملی: 0451989449                          صادره از:      تهران           بازنشستگان/حقوق بگیران                        نشانی منزل:   تهران تهرانپارس خیابان استخر کوچه مسرور پلاک 11</t>
    </r>
    <r>
      <rPr>
        <b/>
        <sz val="14"/>
        <color theme="1"/>
        <rFont val="B Nazanin"/>
        <charset val="178"/>
      </rPr>
      <t xml:space="preserve">
تلفن یا تلفن همراه:              09196097462                  نشانی محل کار:        بازنشسته نیروی مسلح        </t>
    </r>
    <r>
      <rPr>
        <b/>
        <i/>
        <sz val="14"/>
        <color rgb="FFFF0000"/>
        <rFont val="B Nazanin"/>
        <charset val="178"/>
      </rPr>
      <t xml:space="preserve">                                      </t>
    </r>
    <r>
      <rPr>
        <b/>
        <sz val="14"/>
        <color rgb="FF000000"/>
        <rFont val="B Nazanin"/>
        <charset val="178"/>
      </rPr>
      <t xml:space="preserve">                                                                                                 با عنایت به اینکه متقاضی دریافت تسهیلات خرید کالا از فروشگاه های طرف قرارداد شرکت واسپاری ارزش آفرین گلرنگ می باشم لذا در کمال صحت و سلامت کامل جسم و روان، بانک سپه را مأذون و وکیل با حق توکیل به غیر ولو کراراً بدون حق عدول و بصورت قطعی و غیر قابل فسخ و همچنین وصی  بعد از فوت قرار میدهم تا حق برداشت اقساط از حساب متصل به حقوق و مزایا  به شماره حساب                   3101121559714                                ویا هرگونه حساب دیگر اینجانب نزد بانک سپه و واریز به شماره حساب  1992300317210 شرکت واسپاری ارزش آفرین گلرنگ را دارا باشد و بدینوسیله حق هرگونه ادعا و اعتراض آنی و آتی در این خصوص را از خود سلب و اسقاط می نمایم.     بدیهی است اینجانب ( موکل ) حق عزل وکیل ( بانک ) و رجوع از اذن را نیز تا پایان مدت قرارداد منعقده و تسویه مبالغ متعلقه از خود سلب و اسقاط نمودم. همچنین اذعان میدارم کلیه امور مربوط به موضوع این وکالتنامه را از شرکت مزبور پیگیری نموده و بانک هیچگونه مسئولیتی در این خصوص نخواهد داشت . 
             </t>
    </r>
    <r>
      <rPr>
        <b/>
        <sz val="12"/>
        <color rgb="FF000000"/>
        <rFont val="B Nazanin"/>
        <charset val="178"/>
      </rPr>
      <t xml:space="preserve">
                     مهر و امضاء وکیل ( شعبه بانک )                                                                                 امضاء و اثر انگشت موکل
                                      تاریخ                                                                                                                                            تاریخ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</si>
</sst>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960429]yyyy/mm/dd;@"/>
    <numFmt numFmtId="166" formatCode="#,##0;[Red]#,##0"/>
    <numFmt numFmtId="167" formatCode="#,##0.00_);[Red]\(&quot;$&quot;#,##0.00\)"/>
  </numFmts>
  <fonts count="32">
    <font>
      <sz val="11"/>
      <color theme="1"/>
      <name val="Calibri"/>
      <family val="2"/>
      <scheme val="minor"/>
    </font>
    <font>
      <b/>
      <sz val="12"/>
      <color theme="1"/>
      <name val="B Nazanin"/>
      <charset val="178"/>
    </font>
    <font>
      <sz val="12"/>
      <color theme="1"/>
      <name val="B Nazanin"/>
      <charset val="178"/>
    </font>
    <font>
      <sz val="12"/>
      <color theme="1"/>
      <name val="Wingdings"/>
      <charset val="2"/>
    </font>
    <font>
      <sz val="14"/>
      <color rgb="FF000000"/>
      <name val="B Nazanin"/>
      <charset val="178"/>
    </font>
    <font>
      <sz val="14"/>
      <color theme="1"/>
      <name val="B Nazanin"/>
      <charset val="178"/>
    </font>
    <font>
      <sz val="14"/>
      <color theme="1"/>
      <name val="Wingdings"/>
      <charset val="2"/>
    </font>
    <font>
      <sz val="12"/>
      <color theme="1"/>
      <name val="Arial"/>
      <family val="2"/>
    </font>
    <font>
      <sz val="12"/>
      <color theme="1"/>
      <name val="B Nazanin"/>
      <family val="2"/>
      <charset val="178"/>
    </font>
    <font>
      <sz val="14"/>
      <color rgb="FFFF0000"/>
      <name val="B Nazanin"/>
      <charset val="178"/>
    </font>
    <font>
      <sz val="12"/>
      <color rgb="FFFF0000"/>
      <name val="B Nazanin"/>
      <charset val="178"/>
    </font>
    <font>
      <b/>
      <sz val="16"/>
      <color theme="1"/>
      <name val="B Nazanin"/>
      <charset val="178"/>
    </font>
    <font>
      <b/>
      <sz val="6"/>
      <color theme="1"/>
      <name val="IRANSans"/>
      <family val="2"/>
    </font>
    <font>
      <b/>
      <sz val="12"/>
      <color theme="1"/>
      <name val="IRANSans"/>
      <family val="2"/>
    </font>
    <font>
      <b/>
      <sz val="12"/>
      <color rgb="FF000000"/>
      <name val="B Nazanin"/>
      <charset val="178"/>
    </font>
    <font>
      <b/>
      <sz val="12"/>
      <color rgb="FF000000"/>
      <name val="B Titr"/>
      <charset val="178"/>
    </font>
    <font>
      <b/>
      <sz val="14"/>
      <color rgb="FF000000"/>
      <name val="B Nazanin"/>
      <charset val="178"/>
    </font>
    <font>
      <b/>
      <sz val="14"/>
      <color theme="1"/>
      <name val="B Nazanin"/>
      <charset val="178"/>
    </font>
    <font>
      <b/>
      <i/>
      <sz val="14"/>
      <color rgb="FFFF0000"/>
      <name val="B Nazanin"/>
      <charset val="178"/>
    </font>
    <font>
      <b/>
      <sz val="16"/>
      <color rgb="FF000000"/>
      <name val="B Nazanin"/>
      <charset val="178"/>
    </font>
    <font>
      <b/>
      <sz val="11"/>
      <color rgb="FF000000"/>
      <name val="B Nazanin"/>
      <charset val="178"/>
    </font>
    <font>
      <b/>
      <sz val="8"/>
      <color rgb="FF000000"/>
      <name val="B Nazanin"/>
      <charset val="178"/>
    </font>
    <font>
      <b/>
      <u/>
      <sz val="6"/>
      <color theme="1"/>
      <name val="B Nazanin"/>
      <charset val="178"/>
    </font>
    <font>
      <b/>
      <u/>
      <sz val="18"/>
      <color theme="1"/>
      <name val="B Nazanin"/>
      <charset val="178"/>
    </font>
    <font>
      <b/>
      <sz val="11"/>
      <color theme="1"/>
      <name val="B Nazanin"/>
      <charset val="178"/>
    </font>
    <font>
      <sz val="11"/>
      <color theme="1"/>
      <name val="B Nazanin"/>
      <charset val="178"/>
    </font>
    <font>
      <sz val="13"/>
      <color theme="1"/>
      <name val="B Nazanin"/>
      <charset val="178"/>
    </font>
    <font>
      <sz val="11"/>
      <color theme="1"/>
      <name val="Calibri"/>
      <family val="2"/>
      <scheme val="minor"/>
    </font>
    <font>
      <sz val="14"/>
      <color theme="1"/>
      <name val="Calibri"/>
      <family val="2"/>
      <scheme val="minor"/>
    </font>
    <font>
      <sz val="14"/>
      <color theme="1"/>
      <name val="B Titr"/>
      <charset val="178"/>
    </font>
    <font>
      <sz val="12"/>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s>
  <borders count="76">
    <border>
      <left/>
      <right/>
      <top/>
      <bottom/>
      <diagonal/>
    </border>
    <border>
      <left style="thick">
        <color theme="2" tint="-9.9948118533890809E-2"/>
      </left>
      <right style="thick">
        <color theme="2" tint="-9.9948118533890809E-2"/>
      </right>
      <top style="thick">
        <color theme="2" tint="-9.9948118533890809E-2"/>
      </top>
      <bottom style="thick">
        <color theme="2" tint="-9.9948118533890809E-2"/>
      </bottom>
      <diagonal/>
    </border>
    <border>
      <left style="medium">
        <color theme="0" tint="-0.24994659260841701"/>
      </left>
      <right/>
      <top style="medium">
        <color theme="0" tint="-0.24994659260841701"/>
      </top>
      <bottom/>
      <diagonal/>
    </border>
    <border>
      <left/>
      <right/>
      <top style="medium">
        <color theme="0" tint="-0.24994659260841701"/>
      </top>
      <bottom/>
      <diagonal/>
    </border>
    <border>
      <left/>
      <right style="medium">
        <color theme="0" tint="-0.24994659260841701"/>
      </right>
      <top style="medium">
        <color theme="0" tint="-0.24994659260841701"/>
      </top>
      <bottom/>
      <diagonal/>
    </border>
    <border>
      <left/>
      <right/>
      <top style="thick">
        <color theme="2" tint="-9.9948118533890809E-2"/>
      </top>
      <bottom style="thick">
        <color theme="2" tint="-9.9948118533890809E-2"/>
      </bottom>
      <diagonal/>
    </border>
    <border>
      <left style="thick">
        <color theme="0" tint="-0.14993743705557422"/>
      </left>
      <right/>
      <top style="thick">
        <color theme="0" tint="-0.14993743705557422"/>
      </top>
      <bottom/>
      <diagonal/>
    </border>
    <border>
      <left/>
      <right/>
      <top style="thick">
        <color theme="0" tint="-0.14993743705557422"/>
      </top>
      <bottom/>
      <diagonal/>
    </border>
    <border>
      <left/>
      <right style="thick">
        <color theme="0" tint="-0.14993743705557422"/>
      </right>
      <top style="thick">
        <color theme="0" tint="-0.14993743705557422"/>
      </top>
      <bottom/>
      <diagonal/>
    </border>
    <border>
      <left style="thick">
        <color theme="0" tint="-0.14993743705557422"/>
      </left>
      <right/>
      <top/>
      <bottom/>
      <diagonal/>
    </border>
    <border>
      <left/>
      <right style="thick">
        <color theme="0" tint="-0.14993743705557422"/>
      </right>
      <top/>
      <bottom/>
      <diagonal/>
    </border>
    <border>
      <left style="thick">
        <color theme="0" tint="-0.14993743705557422"/>
      </left>
      <right/>
      <top/>
      <bottom style="thick">
        <color theme="0" tint="-0.14993743705557422"/>
      </bottom>
      <diagonal/>
    </border>
    <border>
      <left/>
      <right/>
      <top/>
      <bottom style="thick">
        <color theme="0" tint="-0.14993743705557422"/>
      </bottom>
      <diagonal/>
    </border>
    <border>
      <left/>
      <right style="thick">
        <color theme="0" tint="-0.14993743705557422"/>
      </right>
      <top/>
      <bottom style="thick">
        <color theme="0" tint="-0.14993743705557422"/>
      </bottom>
      <diagonal/>
    </border>
    <border>
      <left/>
      <right/>
      <top style="thick">
        <color theme="2" tint="-9.9948118533890809E-2"/>
      </top>
      <bottom/>
      <diagonal/>
    </border>
    <border>
      <left style="thick">
        <color theme="2" tint="-9.9948118533890809E-2"/>
      </left>
      <right/>
      <top style="thick">
        <color theme="2" tint="-9.9948118533890809E-2"/>
      </top>
      <bottom style="thick">
        <color theme="2" tint="-9.9948118533890809E-2"/>
      </bottom>
      <diagonal/>
    </border>
    <border>
      <left/>
      <right style="thick">
        <color theme="2" tint="-9.9948118533890809E-2"/>
      </right>
      <top style="thick">
        <color theme="2" tint="-9.9948118533890809E-2"/>
      </top>
      <bottom style="thick">
        <color theme="2" tint="-9.9948118533890809E-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ck">
        <color indexed="64"/>
      </left>
      <right/>
      <top/>
      <bottom style="medium">
        <color indexed="64"/>
      </bottom>
      <diagonal/>
    </border>
    <border>
      <left/>
      <right style="thick">
        <color indexed="64"/>
      </right>
      <top/>
      <bottom style="medium">
        <color indexed="64"/>
      </bottom>
      <diagonal/>
    </border>
    <border>
      <left style="thick">
        <color indexed="64"/>
      </left>
      <right/>
      <top/>
      <bottom/>
      <diagonal/>
    </border>
    <border>
      <left style="thick">
        <color indexed="64"/>
      </left>
      <right/>
      <top style="medium">
        <color indexed="64"/>
      </top>
      <bottom style="medium">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ck">
        <color indexed="64"/>
      </left>
      <right/>
      <top style="medium">
        <color indexed="64"/>
      </top>
      <bottom/>
      <diagonal/>
    </border>
    <border>
      <left/>
      <right style="thick">
        <color indexed="64"/>
      </right>
      <top/>
      <bottom/>
      <diagonal/>
    </border>
    <border>
      <left/>
      <right style="thick">
        <color indexed="64"/>
      </right>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top style="thick">
        <color indexed="64"/>
      </top>
      <bottom/>
      <diagonal/>
    </border>
    <border>
      <left style="thick">
        <color indexed="64"/>
      </left>
      <right/>
      <top style="thick">
        <color indexed="64"/>
      </top>
      <bottom/>
      <diagonal/>
    </border>
    <border>
      <left/>
      <right style="medium">
        <color indexed="64"/>
      </right>
      <top style="thick">
        <color indexed="64"/>
      </top>
      <bottom/>
      <diagonal/>
    </border>
    <border>
      <left style="medium">
        <color indexed="64"/>
      </left>
      <right/>
      <top style="thick">
        <color indexed="64"/>
      </top>
      <bottom/>
      <diagonal/>
    </border>
    <border>
      <left/>
      <right style="thick">
        <color indexed="64"/>
      </right>
      <top style="thick">
        <color indexed="64"/>
      </top>
      <bottom/>
      <diagonal/>
    </border>
    <border>
      <left style="medium">
        <color indexed="64"/>
      </left>
      <right/>
      <top/>
      <bottom style="thick">
        <color indexed="64"/>
      </bottom>
      <diagonal/>
    </border>
    <border>
      <left/>
      <right/>
      <top/>
      <bottom style="thick">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ck">
        <color indexed="64"/>
      </left>
      <right/>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s>
  <cellStyleXfs count="2">
    <xf numFmtId="0" fontId="0" fillId="0" borderId="0"/>
    <xf numFmtId="164" fontId="27" fillId="0" borderId="0" applyFont="0" applyFill="0" applyBorder="0" applyAlignment="0" applyProtection="0"/>
  </cellStyleXfs>
  <cellXfs count="191">
    <xf numFmtId="0" fontId="0" fillId="0" borderId="0" xfId="0"/>
    <xf numFmtId="0" fontId="1" fillId="0" borderId="0" xfId="0" applyFont="1"/>
    <xf numFmtId="0" fontId="1" fillId="0" borderId="0" xfId="0" applyFont="1" applyAlignment="1">
      <alignment readingOrder="1"/>
    </xf>
    <xf numFmtId="0" fontId="1" fillId="0" borderId="2" xfId="0" applyFont="1" applyBorder="1"/>
    <xf numFmtId="0" fontId="1" fillId="0" borderId="3" xfId="0" applyFont="1" applyBorder="1"/>
    <xf numFmtId="0" fontId="1" fillId="0" borderId="4" xfId="0" applyFont="1" applyBorder="1"/>
    <xf numFmtId="0" fontId="1" fillId="0" borderId="6" xfId="0" applyFont="1" applyBorder="1"/>
    <xf numFmtId="0" fontId="1" fillId="0" borderId="9" xfId="0" applyFont="1" applyBorder="1"/>
    <xf numFmtId="0" fontId="2" fillId="0" borderId="10" xfId="0" applyFont="1" applyBorder="1" applyAlignment="1">
      <alignment horizontal="right" vertical="top" readingOrder="2"/>
    </xf>
    <xf numFmtId="0" fontId="2" fillId="0" borderId="10" xfId="0" applyFont="1" applyBorder="1" applyAlignment="1">
      <alignment horizontal="center" vertical="center" readingOrder="2"/>
    </xf>
    <xf numFmtId="0" fontId="2" fillId="0" borderId="10" xfId="0" applyFont="1" applyBorder="1" applyAlignment="1">
      <alignment horizontal="right" vertical="top" wrapText="1" readingOrder="2"/>
    </xf>
    <xf numFmtId="0" fontId="2" fillId="0" borderId="10" xfId="0" applyFont="1" applyBorder="1" applyAlignment="1">
      <alignment horizontal="center" readingOrder="2"/>
    </xf>
    <xf numFmtId="0" fontId="2" fillId="0" borderId="10" xfId="0" applyFont="1" applyBorder="1" applyAlignment="1">
      <alignment horizontal="right" readingOrder="2"/>
    </xf>
    <xf numFmtId="0" fontId="1" fillId="0" borderId="11" xfId="0" applyFont="1" applyBorder="1"/>
    <xf numFmtId="0" fontId="2" fillId="0" borderId="12" xfId="0" applyFont="1" applyBorder="1" applyAlignment="1">
      <alignment horizontal="center" vertical="center" readingOrder="2"/>
    </xf>
    <xf numFmtId="0" fontId="2" fillId="0" borderId="13" xfId="0" applyFont="1" applyBorder="1" applyAlignment="1">
      <alignment horizontal="center" vertical="center" readingOrder="2"/>
    </xf>
    <xf numFmtId="0" fontId="0" fillId="0" borderId="30" xfId="0" applyBorder="1"/>
    <xf numFmtId="0" fontId="21" fillId="2" borderId="0" xfId="0" applyFont="1" applyFill="1" applyAlignment="1">
      <alignment horizontal="right" vertical="top" wrapText="1" readingOrder="2"/>
    </xf>
    <xf numFmtId="0" fontId="21" fillId="2" borderId="37" xfId="0" applyFont="1" applyFill="1" applyBorder="1" applyAlignment="1">
      <alignment horizontal="right" vertical="top" wrapText="1" readingOrder="2"/>
    </xf>
    <xf numFmtId="3" fontId="19" fillId="2" borderId="30" xfId="0" applyNumberFormat="1" applyFont="1" applyFill="1" applyBorder="1" applyAlignment="1">
      <alignment horizontal="center" vertical="top" wrapText="1" readingOrder="2"/>
    </xf>
    <xf numFmtId="0" fontId="19" fillId="2" borderId="0" xfId="0" applyFont="1" applyFill="1" applyAlignment="1">
      <alignment horizontal="center" vertical="top" wrapText="1" readingOrder="2"/>
    </xf>
    <xf numFmtId="3" fontId="19" fillId="2" borderId="0" xfId="0" applyNumberFormat="1" applyFont="1" applyFill="1" applyAlignment="1">
      <alignment horizontal="center" vertical="top" wrapText="1" readingOrder="2"/>
    </xf>
    <xf numFmtId="0" fontId="21" fillId="2" borderId="30" xfId="0" applyFont="1" applyFill="1" applyBorder="1" applyAlignment="1">
      <alignment horizontal="right" vertical="top" wrapText="1" readingOrder="2"/>
    </xf>
    <xf numFmtId="0" fontId="21" fillId="2" borderId="38" xfId="0" applyFont="1" applyFill="1" applyBorder="1" applyAlignment="1">
      <alignment horizontal="right" vertical="top" wrapText="1" readingOrder="2"/>
    </xf>
    <xf numFmtId="0" fontId="0" fillId="0" borderId="42" xfId="0" applyBorder="1"/>
    <xf numFmtId="0" fontId="13" fillId="2" borderId="30" xfId="0" applyFont="1" applyFill="1" applyBorder="1" applyAlignment="1">
      <alignment horizontal="left" vertical="center"/>
    </xf>
    <xf numFmtId="165" fontId="24" fillId="2" borderId="22" xfId="0" applyNumberFormat="1" applyFont="1" applyFill="1" applyBorder="1" applyAlignment="1">
      <alignment horizontal="center" vertical="center"/>
    </xf>
    <xf numFmtId="0" fontId="25" fillId="0" borderId="53" xfId="0" applyFont="1" applyBorder="1" applyAlignment="1">
      <alignment horizontal="center" vertical="center"/>
    </xf>
    <xf numFmtId="0" fontId="25" fillId="0" borderId="54" xfId="0" applyFont="1" applyBorder="1" applyAlignment="1">
      <alignment horizontal="center" vertical="center"/>
    </xf>
    <xf numFmtId="0" fontId="0" fillId="0" borderId="0" xfId="0" applyAlignment="1">
      <alignment vertical="center"/>
    </xf>
    <xf numFmtId="0" fontId="0" fillId="0" borderId="61" xfId="0" applyBorder="1"/>
    <xf numFmtId="0" fontId="0" fillId="0" borderId="62" xfId="0" applyBorder="1"/>
    <xf numFmtId="0" fontId="0" fillId="0" borderId="63" xfId="0" applyBorder="1"/>
    <xf numFmtId="0" fontId="0" fillId="0" borderId="64" xfId="0" applyBorder="1"/>
    <xf numFmtId="0" fontId="0" fillId="0" borderId="65" xfId="0" applyBorder="1"/>
    <xf numFmtId="0" fontId="28" fillId="0" borderId="0" xfId="0" applyFont="1" applyAlignment="1" applyProtection="1">
      <alignment horizontal="center" vertical="center"/>
      <protection hidden="1"/>
    </xf>
    <xf numFmtId="0" fontId="28" fillId="0" borderId="0" xfId="0" applyFont="1" applyProtection="1">
      <protection hidden="1"/>
    </xf>
    <xf numFmtId="0" fontId="29" fillId="0" borderId="0" xfId="0" applyFont="1" applyAlignment="1" applyProtection="1">
      <alignment horizontal="center" vertical="center"/>
      <protection hidden="1"/>
    </xf>
    <xf numFmtId="0" fontId="1" fillId="4" borderId="67" xfId="0" applyFont="1" applyFill="1" applyBorder="1" applyAlignment="1" applyProtection="1">
      <alignment horizontal="center" vertical="center" wrapText="1"/>
      <protection hidden="1"/>
    </xf>
    <xf numFmtId="0" fontId="1" fillId="0" borderId="68" xfId="0" applyFont="1" applyBorder="1" applyAlignment="1" applyProtection="1">
      <alignment horizontal="center" vertical="center" wrapText="1"/>
      <protection hidden="1"/>
    </xf>
    <xf numFmtId="0" fontId="1" fillId="4" borderId="68" xfId="0" applyFont="1" applyFill="1" applyBorder="1" applyAlignment="1" applyProtection="1">
      <alignment horizontal="center" vertical="center" wrapText="1"/>
      <protection hidden="1"/>
    </xf>
    <xf numFmtId="167" fontId="1" fillId="4" borderId="68" xfId="0" applyNumberFormat="1" applyFont="1" applyFill="1" applyBorder="1" applyAlignment="1" applyProtection="1">
      <alignment horizontal="center" vertical="center"/>
      <protection hidden="1"/>
    </xf>
    <xf numFmtId="167" fontId="1" fillId="4" borderId="68" xfId="0" applyNumberFormat="1" applyFont="1" applyFill="1" applyBorder="1" applyAlignment="1" applyProtection="1">
      <alignment horizontal="center" vertical="center" wrapText="1"/>
      <protection hidden="1"/>
    </xf>
    <xf numFmtId="0" fontId="1" fillId="4" borderId="69" xfId="0" applyFont="1" applyFill="1" applyBorder="1" applyAlignment="1" applyProtection="1">
      <alignment horizontal="center" vertical="center" wrapText="1"/>
      <protection hidden="1"/>
    </xf>
    <xf numFmtId="0" fontId="1" fillId="4" borderId="0" xfId="0" applyFont="1" applyFill="1" applyAlignment="1" applyProtection="1">
      <alignment horizontal="center" vertical="center" wrapText="1" shrinkToFit="1"/>
      <protection hidden="1"/>
    </xf>
    <xf numFmtId="0" fontId="30" fillId="0" borderId="0" xfId="0" applyFont="1" applyProtection="1">
      <protection hidden="1"/>
    </xf>
    <xf numFmtId="9" fontId="5" fillId="0" borderId="70" xfId="0" applyNumberFormat="1" applyFont="1" applyBorder="1" applyAlignment="1" applyProtection="1">
      <alignment horizontal="center" vertical="center"/>
      <protection hidden="1"/>
    </xf>
    <xf numFmtId="9" fontId="5" fillId="0" borderId="71" xfId="0" applyNumberFormat="1" applyFont="1" applyBorder="1" applyAlignment="1" applyProtection="1">
      <alignment horizontal="center" vertical="center"/>
      <protection hidden="1"/>
    </xf>
    <xf numFmtId="3" fontId="5" fillId="0" borderId="71" xfId="0" applyNumberFormat="1" applyFont="1" applyBorder="1" applyAlignment="1" applyProtection="1">
      <alignment horizontal="center" vertical="center" shrinkToFit="1"/>
      <protection hidden="1"/>
    </xf>
    <xf numFmtId="3" fontId="5" fillId="0" borderId="71" xfId="1" applyNumberFormat="1" applyFont="1" applyFill="1" applyBorder="1" applyAlignment="1" applyProtection="1">
      <alignment horizontal="center" vertical="center" shrinkToFit="1"/>
      <protection locked="0" hidden="1"/>
    </xf>
    <xf numFmtId="3" fontId="5" fillId="0" borderId="71" xfId="1" applyNumberFormat="1" applyFont="1" applyFill="1" applyBorder="1" applyAlignment="1" applyProtection="1">
      <alignment horizontal="center" vertical="center" shrinkToFit="1"/>
      <protection hidden="1"/>
    </xf>
    <xf numFmtId="10" fontId="5" fillId="0" borderId="71" xfId="0" applyNumberFormat="1" applyFont="1" applyBorder="1" applyAlignment="1" applyProtection="1">
      <alignment horizontal="center" vertical="center" shrinkToFit="1"/>
      <protection hidden="1"/>
    </xf>
    <xf numFmtId="3" fontId="5" fillId="0" borderId="72" xfId="0" applyNumberFormat="1" applyFont="1" applyBorder="1" applyAlignment="1" applyProtection="1">
      <alignment horizontal="center" vertical="center" shrinkToFit="1"/>
      <protection hidden="1"/>
    </xf>
    <xf numFmtId="10" fontId="17" fillId="0" borderId="0" xfId="1" applyNumberFormat="1" applyFont="1" applyFill="1" applyBorder="1" applyAlignment="1" applyProtection="1">
      <alignment horizontal="center" vertical="center" shrinkToFit="1" readingOrder="2"/>
      <protection hidden="1"/>
    </xf>
    <xf numFmtId="3" fontId="28" fillId="0" borderId="0" xfId="0" applyNumberFormat="1" applyFont="1" applyAlignment="1" applyProtection="1">
      <alignment horizontal="center" vertical="center"/>
      <protection hidden="1"/>
    </xf>
    <xf numFmtId="9" fontId="5" fillId="0" borderId="73" xfId="0" applyNumberFormat="1" applyFont="1" applyBorder="1" applyAlignment="1" applyProtection="1">
      <alignment horizontal="center" vertical="center"/>
      <protection hidden="1"/>
    </xf>
    <xf numFmtId="9" fontId="5" fillId="0" borderId="74" xfId="0" applyNumberFormat="1" applyFont="1" applyBorder="1" applyAlignment="1" applyProtection="1">
      <alignment horizontal="center" vertical="center"/>
      <protection hidden="1"/>
    </xf>
    <xf numFmtId="3" fontId="5" fillId="0" borderId="74" xfId="0" applyNumberFormat="1" applyFont="1" applyBorder="1" applyAlignment="1" applyProtection="1">
      <alignment horizontal="center" vertical="center" shrinkToFit="1"/>
      <protection hidden="1"/>
    </xf>
    <xf numFmtId="3" fontId="5" fillId="0" borderId="74" xfId="1" applyNumberFormat="1" applyFont="1" applyFill="1" applyBorder="1" applyAlignment="1" applyProtection="1">
      <alignment horizontal="center" vertical="center" shrinkToFit="1"/>
      <protection locked="0" hidden="1"/>
    </xf>
    <xf numFmtId="3" fontId="5" fillId="0" borderId="74" xfId="1" applyNumberFormat="1" applyFont="1" applyFill="1" applyBorder="1" applyAlignment="1" applyProtection="1">
      <alignment horizontal="center" vertical="center" shrinkToFit="1"/>
      <protection hidden="1"/>
    </xf>
    <xf numFmtId="10" fontId="5" fillId="0" borderId="74" xfId="0" applyNumberFormat="1" applyFont="1" applyBorder="1" applyAlignment="1" applyProtection="1">
      <alignment horizontal="center" vertical="center" shrinkToFit="1"/>
      <protection hidden="1"/>
    </xf>
    <xf numFmtId="3" fontId="5" fillId="0" borderId="75" xfId="0" applyNumberFormat="1" applyFont="1" applyBorder="1" applyAlignment="1" applyProtection="1">
      <alignment horizontal="center" vertical="center" shrinkToFit="1"/>
      <protection hidden="1"/>
    </xf>
    <xf numFmtId="9" fontId="5" fillId="0" borderId="55" xfId="0" applyNumberFormat="1" applyFont="1" applyBorder="1" applyAlignment="1" applyProtection="1">
      <alignment horizontal="center" vertical="center"/>
      <protection hidden="1"/>
    </xf>
    <xf numFmtId="9" fontId="5" fillId="0" borderId="56" xfId="0" applyNumberFormat="1" applyFont="1" applyBorder="1" applyAlignment="1" applyProtection="1">
      <alignment horizontal="center" vertical="center"/>
      <protection hidden="1"/>
    </xf>
    <xf numFmtId="3" fontId="5" fillId="0" borderId="56" xfId="0" applyNumberFormat="1" applyFont="1" applyBorder="1" applyAlignment="1" applyProtection="1">
      <alignment horizontal="center" vertical="center" shrinkToFit="1"/>
      <protection hidden="1"/>
    </xf>
    <xf numFmtId="3" fontId="5" fillId="0" borderId="56" xfId="1" applyNumberFormat="1" applyFont="1" applyFill="1" applyBorder="1" applyAlignment="1" applyProtection="1">
      <alignment horizontal="center" vertical="center" shrinkToFit="1"/>
      <protection locked="0" hidden="1"/>
    </xf>
    <xf numFmtId="3" fontId="5" fillId="0" borderId="56" xfId="1" applyNumberFormat="1" applyFont="1" applyFill="1" applyBorder="1" applyAlignment="1" applyProtection="1">
      <alignment horizontal="center" vertical="center" shrinkToFit="1"/>
      <protection hidden="1"/>
    </xf>
    <xf numFmtId="10" fontId="5" fillId="0" borderId="56" xfId="0" applyNumberFormat="1" applyFont="1" applyBorder="1" applyAlignment="1" applyProtection="1">
      <alignment horizontal="center" vertical="center" shrinkToFit="1"/>
      <protection hidden="1"/>
    </xf>
    <xf numFmtId="3" fontId="5" fillId="0" borderId="57" xfId="0" applyNumberFormat="1" applyFont="1" applyBorder="1" applyAlignment="1" applyProtection="1">
      <alignment horizontal="center" vertical="center" shrinkToFit="1"/>
      <protection hidden="1"/>
    </xf>
    <xf numFmtId="3" fontId="31" fillId="0" borderId="0" xfId="0" applyNumberFormat="1" applyFont="1" applyAlignment="1" applyProtection="1">
      <alignment horizontal="center" vertical="center" shrinkToFit="1"/>
      <protection hidden="1"/>
    </xf>
    <xf numFmtId="3" fontId="5" fillId="0" borderId="0" xfId="0" applyNumberFormat="1" applyFont="1" applyAlignment="1" applyProtection="1">
      <alignment horizontal="center" vertical="center" shrinkToFit="1"/>
      <protection hidden="1"/>
    </xf>
    <xf numFmtId="0" fontId="1" fillId="0" borderId="0" xfId="0" applyFont="1" applyAlignment="1">
      <alignment horizontal="center" wrapText="1"/>
    </xf>
    <xf numFmtId="0" fontId="1" fillId="0" borderId="0" xfId="0" applyFont="1" applyAlignment="1">
      <alignment horizontal="center"/>
    </xf>
    <xf numFmtId="0" fontId="5" fillId="0" borderId="5" xfId="0" applyFont="1" applyBorder="1" applyAlignment="1">
      <alignment vertical="center" wrapText="1" readingOrder="2"/>
    </xf>
    <xf numFmtId="0" fontId="5" fillId="0" borderId="16" xfId="0" applyFont="1" applyBorder="1" applyAlignment="1">
      <alignment vertical="center" wrapText="1" readingOrder="2"/>
    </xf>
    <xf numFmtId="0" fontId="5" fillId="0" borderId="15" xfId="0" applyFont="1" applyBorder="1" applyAlignment="1">
      <alignment horizontal="right" vertical="top" wrapText="1" readingOrder="2"/>
    </xf>
    <xf numFmtId="0" fontId="5" fillId="0" borderId="5" xfId="0" applyFont="1" applyBorder="1" applyAlignment="1">
      <alignment horizontal="right" vertical="top" wrapText="1" readingOrder="2"/>
    </xf>
    <xf numFmtId="0" fontId="5" fillId="0" borderId="16" xfId="0" applyFont="1" applyBorder="1" applyAlignment="1">
      <alignment horizontal="right" vertical="top" wrapText="1" readingOrder="2"/>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0" xfId="0" applyFont="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right" readingOrder="2"/>
    </xf>
    <xf numFmtId="0" fontId="1" fillId="0" borderId="0" xfId="0" applyFont="1" applyAlignment="1">
      <alignment horizontal="right" vertical="center" wrapText="1"/>
    </xf>
    <xf numFmtId="0" fontId="1" fillId="0" borderId="0" xfId="0" applyFont="1" applyAlignment="1">
      <alignment horizontal="center" textRotation="90" readingOrder="1"/>
    </xf>
    <xf numFmtId="0" fontId="2" fillId="0" borderId="1" xfId="0" applyFont="1" applyBorder="1" applyAlignment="1">
      <alignment horizontal="center" readingOrder="2"/>
    </xf>
    <xf numFmtId="0" fontId="2" fillId="0" borderId="5" xfId="0" applyFont="1" applyBorder="1" applyAlignment="1">
      <alignment horizontal="center" vertical="center" readingOrder="2"/>
    </xf>
    <xf numFmtId="0" fontId="2" fillId="0" borderId="14" xfId="0" applyFont="1" applyBorder="1" applyAlignment="1">
      <alignment horizontal="center" vertical="center" readingOrder="2"/>
    </xf>
    <xf numFmtId="0" fontId="10" fillId="0" borderId="5" xfId="0" applyFont="1" applyBorder="1" applyAlignment="1">
      <alignment horizontal="center" vertical="center" readingOrder="2"/>
    </xf>
    <xf numFmtId="0" fontId="2" fillId="0" borderId="0" xfId="0" applyFont="1" applyAlignment="1">
      <alignment horizontal="center"/>
    </xf>
    <xf numFmtId="166" fontId="5" fillId="0" borderId="1" xfId="0" applyNumberFormat="1" applyFont="1" applyBorder="1" applyAlignment="1">
      <alignment horizontal="right" vertical="top" wrapText="1" readingOrder="2"/>
    </xf>
    <xf numFmtId="166" fontId="5" fillId="0" borderId="1" xfId="0" applyNumberFormat="1" applyFont="1" applyBorder="1" applyAlignment="1">
      <alignment horizontal="right" vertical="top" readingOrder="2"/>
    </xf>
    <xf numFmtId="0" fontId="4" fillId="2" borderId="9" xfId="0" applyFont="1" applyFill="1" applyBorder="1" applyAlignment="1">
      <alignment horizontal="right" vertical="top" wrapText="1" readingOrder="2"/>
    </xf>
    <xf numFmtId="0" fontId="4" fillId="2" borderId="0" xfId="0" applyFont="1" applyFill="1" applyAlignment="1">
      <alignment horizontal="right" vertical="top" wrapText="1" readingOrder="2"/>
    </xf>
    <xf numFmtId="0" fontId="4" fillId="2" borderId="10" xfId="0" applyFont="1" applyFill="1" applyBorder="1" applyAlignment="1">
      <alignment horizontal="right" vertical="top" wrapText="1" readingOrder="2"/>
    </xf>
    <xf numFmtId="0" fontId="1" fillId="0" borderId="1" xfId="0" applyFont="1" applyBorder="1" applyAlignment="1">
      <alignment horizontal="right" vertical="center" wrapText="1" readingOrder="2"/>
    </xf>
    <xf numFmtId="0" fontId="1" fillId="0" borderId="1" xfId="0" applyFont="1" applyBorder="1" applyAlignment="1">
      <alignment horizontal="right" vertical="center" readingOrder="2"/>
    </xf>
    <xf numFmtId="0" fontId="8" fillId="0" borderId="15" xfId="0" applyFont="1" applyBorder="1" applyAlignment="1">
      <alignment horizontal="right" readingOrder="2"/>
    </xf>
    <xf numFmtId="0" fontId="2" fillId="0" borderId="16" xfId="0" applyFont="1" applyBorder="1" applyAlignment="1">
      <alignment horizontal="right" readingOrder="2"/>
    </xf>
    <xf numFmtId="0" fontId="2" fillId="0" borderId="1" xfId="0" applyFont="1" applyBorder="1" applyAlignment="1">
      <alignment horizontal="right" vertical="center" readingOrder="2"/>
    </xf>
    <xf numFmtId="0" fontId="17" fillId="0" borderId="58" xfId="0" applyFont="1" applyBorder="1" applyAlignment="1">
      <alignment horizontal="center" vertical="center"/>
    </xf>
    <xf numFmtId="0" fontId="17" fillId="0" borderId="59" xfId="0" applyFont="1" applyBorder="1" applyAlignment="1">
      <alignment horizontal="center" vertical="center"/>
    </xf>
    <xf numFmtId="0" fontId="17" fillId="0" borderId="60" xfId="0" applyFont="1" applyBorder="1" applyAlignment="1">
      <alignment horizontal="center" vertical="center"/>
    </xf>
    <xf numFmtId="0" fontId="17" fillId="0" borderId="61" xfId="0" applyFont="1" applyBorder="1" applyAlignment="1">
      <alignment horizontal="center" vertical="center"/>
    </xf>
    <xf numFmtId="0" fontId="17" fillId="0" borderId="0" xfId="0" applyFont="1" applyAlignment="1">
      <alignment horizontal="center" vertical="center"/>
    </xf>
    <xf numFmtId="0" fontId="17" fillId="0" borderId="62" xfId="0" applyFont="1" applyBorder="1" applyAlignment="1">
      <alignment horizontal="center" vertical="center"/>
    </xf>
    <xf numFmtId="0" fontId="26" fillId="0" borderId="61" xfId="0" applyFont="1" applyBorder="1" applyAlignment="1">
      <alignment horizontal="right" vertical="top" wrapText="1"/>
    </xf>
    <xf numFmtId="0" fontId="26" fillId="0" borderId="0" xfId="0" applyFont="1" applyAlignment="1">
      <alignment horizontal="right" vertical="top" wrapText="1"/>
    </xf>
    <xf numFmtId="0" fontId="26" fillId="0" borderId="62" xfId="0" applyFont="1" applyBorder="1" applyAlignment="1">
      <alignment horizontal="right" vertical="top" wrapText="1"/>
    </xf>
    <xf numFmtId="0" fontId="0" fillId="0" borderId="0" xfId="0" applyAlignment="1">
      <alignment horizontal="center" vertical="center"/>
    </xf>
    <xf numFmtId="0" fontId="0" fillId="0" borderId="62" xfId="0" applyBorder="1" applyAlignment="1">
      <alignment horizontal="center" vertic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1" xfId="0" applyBorder="1" applyAlignment="1">
      <alignment horizontal="center"/>
    </xf>
    <xf numFmtId="0" fontId="0" fillId="0" borderId="0" xfId="0" applyAlignment="1">
      <alignment horizontal="center"/>
    </xf>
    <xf numFmtId="0" fontId="0" fillId="0" borderId="22"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61" xfId="0" applyBorder="1" applyAlignment="1">
      <alignment horizontal="center" vertical="center" wrapText="1"/>
    </xf>
    <xf numFmtId="0" fontId="0" fillId="0" borderId="0" xfId="0" applyAlignment="1">
      <alignment horizontal="center" vertical="center" wrapText="1"/>
    </xf>
    <xf numFmtId="0" fontId="20" fillId="0" borderId="36" xfId="0" applyFont="1" applyBorder="1" applyAlignment="1">
      <alignment horizontal="center" vertical="center" wrapText="1" readingOrder="2"/>
    </xf>
    <xf numFmtId="0" fontId="20" fillId="0" borderId="18" xfId="0" applyFont="1" applyBorder="1" applyAlignment="1">
      <alignment horizontal="center" vertical="center" wrapText="1" readingOrder="2"/>
    </xf>
    <xf numFmtId="0" fontId="20" fillId="0" borderId="0" xfId="0" applyFont="1" applyAlignment="1">
      <alignment horizontal="center" vertical="center" wrapText="1" readingOrder="2"/>
    </xf>
    <xf numFmtId="0" fontId="22" fillId="0" borderId="43" xfId="0" applyFont="1" applyBorder="1" applyAlignment="1">
      <alignment horizontal="center" vertical="center" wrapText="1"/>
    </xf>
    <xf numFmtId="0" fontId="22" fillId="0" borderId="44"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22" xfId="0" applyFont="1" applyBorder="1" applyAlignment="1">
      <alignment horizontal="center" vertical="center" wrapText="1"/>
    </xf>
    <xf numFmtId="0" fontId="12" fillId="2" borderId="45" xfId="0" applyFont="1" applyFill="1" applyBorder="1" applyAlignment="1">
      <alignment horizontal="center" vertical="top"/>
    </xf>
    <xf numFmtId="0" fontId="12" fillId="2" borderId="42" xfId="0" applyFont="1" applyFill="1" applyBorder="1" applyAlignment="1">
      <alignment horizontal="center" vertical="top"/>
    </xf>
    <xf numFmtId="0" fontId="12" fillId="2" borderId="46" xfId="0" applyFont="1" applyFill="1" applyBorder="1" applyAlignment="1">
      <alignment horizontal="center" vertical="top"/>
    </xf>
    <xf numFmtId="0" fontId="12" fillId="2" borderId="21" xfId="0" applyFont="1" applyFill="1" applyBorder="1" applyAlignment="1">
      <alignment horizontal="center" vertical="top"/>
    </xf>
    <xf numFmtId="0" fontId="12" fillId="2" borderId="0" xfId="0" applyFont="1" applyFill="1" applyAlignment="1">
      <alignment horizontal="center" vertical="top"/>
    </xf>
    <xf numFmtId="0" fontId="12" fillId="2" borderId="37" xfId="0" applyFont="1" applyFill="1" applyBorder="1" applyAlignment="1">
      <alignment horizontal="center" vertical="top"/>
    </xf>
    <xf numFmtId="0" fontId="12" fillId="2" borderId="47" xfId="0" applyFont="1" applyFill="1" applyBorder="1" applyAlignment="1">
      <alignment horizontal="center" vertical="top"/>
    </xf>
    <xf numFmtId="0" fontId="12" fillId="2" borderId="48" xfId="0" applyFont="1" applyFill="1" applyBorder="1" applyAlignment="1">
      <alignment horizontal="center" vertical="top"/>
    </xf>
    <xf numFmtId="0" fontId="12" fillId="2" borderId="38" xfId="0" applyFont="1" applyFill="1" applyBorder="1" applyAlignment="1">
      <alignment horizontal="center" vertical="top"/>
    </xf>
    <xf numFmtId="0" fontId="14" fillId="2" borderId="49" xfId="0" applyFont="1" applyFill="1" applyBorder="1" applyAlignment="1">
      <alignment horizontal="right" vertical="top" wrapText="1" readingOrder="2"/>
    </xf>
    <xf numFmtId="0" fontId="14" fillId="2" borderId="50" xfId="0" applyFont="1" applyFill="1" applyBorder="1" applyAlignment="1">
      <alignment horizontal="right" vertical="top" wrapText="1" readingOrder="2"/>
    </xf>
    <xf numFmtId="0" fontId="14" fillId="2" borderId="51" xfId="0" applyFont="1" applyFill="1" applyBorder="1" applyAlignment="1">
      <alignment horizontal="right" vertical="top" wrapText="1" readingOrder="2"/>
    </xf>
    <xf numFmtId="0" fontId="14" fillId="2" borderId="31" xfId="0" applyFont="1" applyFill="1" applyBorder="1" applyAlignment="1">
      <alignment vertical="top" wrapText="1" readingOrder="2"/>
    </xf>
    <xf numFmtId="0" fontId="14" fillId="2" borderId="32" xfId="0" applyFont="1" applyFill="1" applyBorder="1" applyAlignment="1">
      <alignment vertical="top" wrapText="1" readingOrder="2"/>
    </xf>
    <xf numFmtId="0" fontId="14" fillId="2" borderId="33" xfId="0" applyFont="1" applyFill="1" applyBorder="1" applyAlignment="1">
      <alignment vertical="top" wrapText="1" readingOrder="2"/>
    </xf>
    <xf numFmtId="0" fontId="14" fillId="3" borderId="34" xfId="0" applyFont="1" applyFill="1" applyBorder="1" applyAlignment="1">
      <alignment horizontal="center" vertical="center" wrapText="1" readingOrder="2"/>
    </xf>
    <xf numFmtId="0" fontId="14" fillId="3" borderId="35" xfId="0" applyFont="1" applyFill="1" applyBorder="1" applyAlignment="1">
      <alignment horizontal="center" vertical="center" wrapText="1" readingOrder="2"/>
    </xf>
    <xf numFmtId="3" fontId="19" fillId="2" borderId="34" xfId="0" applyNumberFormat="1" applyFont="1" applyFill="1" applyBorder="1" applyAlignment="1">
      <alignment horizontal="center" vertical="top" wrapText="1" readingOrder="2"/>
    </xf>
    <xf numFmtId="0" fontId="19" fillId="2" borderId="35" xfId="0" applyFont="1" applyFill="1" applyBorder="1" applyAlignment="1">
      <alignment horizontal="center" vertical="top" wrapText="1" readingOrder="2"/>
    </xf>
    <xf numFmtId="3" fontId="19" fillId="2" borderId="35" xfId="0" applyNumberFormat="1" applyFont="1" applyFill="1" applyBorder="1" applyAlignment="1">
      <alignment horizontal="center" vertical="top" wrapText="1" readingOrder="2"/>
    </xf>
    <xf numFmtId="49" fontId="19" fillId="2" borderId="35" xfId="0" applyNumberFormat="1" applyFont="1" applyFill="1" applyBorder="1" applyAlignment="1">
      <alignment horizontal="center" vertical="top" wrapText="1" readingOrder="2"/>
    </xf>
    <xf numFmtId="0" fontId="0" fillId="0" borderId="52" xfId="0" applyBorder="1" applyAlignment="1">
      <alignment horizontal="center"/>
    </xf>
    <xf numFmtId="0" fontId="0" fillId="0" borderId="53" xfId="0" applyBorder="1" applyAlignment="1">
      <alignment horizontal="center"/>
    </xf>
    <xf numFmtId="0" fontId="0" fillId="0" borderId="55" xfId="0" applyBorder="1" applyAlignment="1">
      <alignment horizontal="center"/>
    </xf>
    <xf numFmtId="0" fontId="0" fillId="0" borderId="56" xfId="0" applyBorder="1" applyAlignment="1">
      <alignment horizontal="center"/>
    </xf>
    <xf numFmtId="0" fontId="0" fillId="0" borderId="57" xfId="0" applyBorder="1" applyAlignment="1">
      <alignment horizontal="center"/>
    </xf>
    <xf numFmtId="3" fontId="19" fillId="0" borderId="30" xfId="0" applyNumberFormat="1" applyFont="1" applyBorder="1" applyAlignment="1">
      <alignment horizontal="center" vertical="top" wrapText="1" readingOrder="2"/>
    </xf>
    <xf numFmtId="3" fontId="19" fillId="0" borderId="0" xfId="0" applyNumberFormat="1" applyFont="1" applyAlignment="1">
      <alignment horizontal="center" vertical="top" wrapText="1" readingOrder="2"/>
    </xf>
    <xf numFmtId="0" fontId="14" fillId="2" borderId="0" xfId="0" applyFont="1" applyFill="1" applyAlignment="1">
      <alignment horizontal="center" vertical="center" wrapText="1" readingOrder="2"/>
    </xf>
    <xf numFmtId="0" fontId="14" fillId="2" borderId="37" xfId="0" applyFont="1" applyFill="1" applyBorder="1" applyAlignment="1">
      <alignment horizontal="center" vertical="center" wrapText="1" readingOrder="2"/>
    </xf>
    <xf numFmtId="0" fontId="14" fillId="2" borderId="39" xfId="0" applyFont="1" applyFill="1" applyBorder="1" applyAlignment="1">
      <alignment horizontal="right" vertical="top" wrapText="1" readingOrder="2"/>
    </xf>
    <xf numFmtId="0" fontId="14" fillId="2" borderId="40" xfId="0" applyFont="1" applyFill="1" applyBorder="1" applyAlignment="1">
      <alignment horizontal="right" vertical="top" wrapText="1" readingOrder="2"/>
    </xf>
    <xf numFmtId="0" fontId="14" fillId="2" borderId="41" xfId="0" applyFont="1" applyFill="1" applyBorder="1" applyAlignment="1">
      <alignment horizontal="right" vertical="top" wrapText="1" readingOrder="2"/>
    </xf>
    <xf numFmtId="0" fontId="11" fillId="0" borderId="17"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0" xfId="0" applyFont="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26" xfId="0" applyFont="1" applyBorder="1" applyAlignment="1">
      <alignment horizontal="center" vertical="center" wrapText="1"/>
    </xf>
    <xf numFmtId="0" fontId="12" fillId="2" borderId="17" xfId="0" applyFont="1" applyFill="1" applyBorder="1" applyAlignment="1">
      <alignment horizontal="center" vertical="top"/>
    </xf>
    <xf numFmtId="0" fontId="12" fillId="2" borderId="18" xfId="0" applyFont="1" applyFill="1" applyBorder="1" applyAlignment="1">
      <alignment horizontal="center" vertical="top"/>
    </xf>
    <xf numFmtId="0" fontId="12" fillId="2" borderId="19" xfId="0" applyFont="1" applyFill="1" applyBorder="1" applyAlignment="1">
      <alignment horizontal="center" vertical="top"/>
    </xf>
    <xf numFmtId="0" fontId="12" fillId="2" borderId="22" xfId="0" applyFont="1" applyFill="1" applyBorder="1" applyAlignment="1">
      <alignment horizontal="center" vertical="top"/>
    </xf>
    <xf numFmtId="0" fontId="12" fillId="2" borderId="24" xfId="0" applyFont="1" applyFill="1" applyBorder="1" applyAlignment="1">
      <alignment horizontal="center" vertical="top"/>
    </xf>
    <xf numFmtId="0" fontId="12" fillId="2" borderId="25" xfId="0" applyFont="1" applyFill="1" applyBorder="1" applyAlignment="1">
      <alignment horizontal="center" vertical="top"/>
    </xf>
    <xf numFmtId="0" fontId="12" fillId="2" borderId="26" xfId="0" applyFont="1" applyFill="1" applyBorder="1" applyAlignment="1">
      <alignment horizontal="center" vertical="top"/>
    </xf>
    <xf numFmtId="0" fontId="13" fillId="2" borderId="20" xfId="0" applyFont="1" applyFill="1" applyBorder="1" applyAlignment="1">
      <alignment horizontal="right" vertical="center"/>
    </xf>
    <xf numFmtId="0" fontId="13" fillId="2" borderId="23" xfId="0" applyFont="1" applyFill="1" applyBorder="1" applyAlignment="1">
      <alignment horizontal="right" vertical="center"/>
    </xf>
    <xf numFmtId="0" fontId="13" fillId="2" borderId="27" xfId="0" applyFont="1" applyFill="1" applyBorder="1" applyAlignment="1">
      <alignment horizontal="right" vertical="center"/>
    </xf>
    <xf numFmtId="0" fontId="14" fillId="2" borderId="28" xfId="0" applyFont="1" applyFill="1" applyBorder="1" applyAlignment="1">
      <alignment horizontal="right" vertical="top" wrapText="1" readingOrder="2"/>
    </xf>
    <xf numFmtId="0" fontId="14" fillId="2" borderId="25" xfId="0" applyFont="1" applyFill="1" applyBorder="1" applyAlignment="1">
      <alignment horizontal="right" vertical="top" wrapText="1" readingOrder="2"/>
    </xf>
    <xf numFmtId="0" fontId="14" fillId="2" borderId="29" xfId="0" applyFont="1" applyFill="1" applyBorder="1" applyAlignment="1">
      <alignment horizontal="right" vertical="top" wrapText="1" readingOrder="2"/>
    </xf>
    <xf numFmtId="0" fontId="29" fillId="0" borderId="43" xfId="0" applyFont="1" applyBorder="1" applyAlignment="1" applyProtection="1">
      <alignment horizontal="center" vertical="center"/>
      <protection hidden="1"/>
    </xf>
    <xf numFmtId="0" fontId="29" fillId="0" borderId="42" xfId="0" applyFont="1" applyBorder="1" applyAlignment="1" applyProtection="1">
      <alignment horizontal="center" vertical="center"/>
      <protection hidden="1"/>
    </xf>
    <xf numFmtId="0" fontId="29" fillId="0" borderId="46" xfId="0" applyFont="1" applyBorder="1" applyAlignment="1" applyProtection="1">
      <alignment horizontal="center" vertical="center"/>
      <protection hidden="1"/>
    </xf>
    <xf numFmtId="0" fontId="29" fillId="0" borderId="66" xfId="0" applyFont="1" applyBorder="1" applyAlignment="1" applyProtection="1">
      <alignment horizontal="center" vertical="center"/>
      <protection hidden="1"/>
    </xf>
    <xf numFmtId="0" fontId="29" fillId="0" borderId="48" xfId="0" applyFont="1" applyBorder="1" applyAlignment="1" applyProtection="1">
      <alignment horizontal="center" vertical="center"/>
      <protection hidden="1"/>
    </xf>
    <xf numFmtId="0" fontId="29" fillId="0" borderId="38" xfId="0" applyFont="1" applyBorder="1" applyAlignment="1" applyProtection="1">
      <alignment horizontal="center" vertical="center"/>
      <protection hidden="1"/>
    </xf>
    <xf numFmtId="0" fontId="5" fillId="0" borderId="15" xfId="0" applyFont="1" applyBorder="1" applyAlignment="1">
      <alignment vertical="center" wrapText="1" readingOrder="2"/>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68795</xdr:colOff>
      <xdr:row>1</xdr:row>
      <xdr:rowOff>97365</xdr:rowOff>
    </xdr:from>
    <xdr:to>
      <xdr:col>2</xdr:col>
      <xdr:colOff>204717</xdr:colOff>
      <xdr:row>4</xdr:row>
      <xdr:rowOff>315382</xdr:rowOff>
    </xdr:to>
    <xdr:pic>
      <xdr:nvPicPr>
        <xdr:cNvPr id="5" name="Picture 4">
          <a:extLst>
            <a:ext uri="{FF2B5EF4-FFF2-40B4-BE49-F238E27FC236}">
              <a16:creationId xmlns:a16="http://schemas.microsoft.com/office/drawing/2014/main" id="{C5711A27-01FE-43F3-9086-2D041F7623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57644949" y="372532"/>
          <a:ext cx="749756"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31750</xdr:colOff>
      <xdr:row>5</xdr:row>
      <xdr:rowOff>1629834</xdr:rowOff>
    </xdr:from>
    <xdr:to>
      <xdr:col>1</xdr:col>
      <xdr:colOff>169333</xdr:colOff>
      <xdr:row>5</xdr:row>
      <xdr:rowOff>1778000</xdr:rowOff>
    </xdr:to>
    <xdr:sp macro="" textlink="">
      <xdr:nvSpPr>
        <xdr:cNvPr id="4" name="Rectangle 3">
          <a:extLst>
            <a:ext uri="{FF2B5EF4-FFF2-40B4-BE49-F238E27FC236}">
              <a16:creationId xmlns:a16="http://schemas.microsoft.com/office/drawing/2014/main" id="{9653FB12-B8A8-1957-FE9B-739B7173B0C0}"/>
            </a:ext>
          </a:extLst>
        </xdr:cNvPr>
        <xdr:cNvSpPr/>
      </xdr:nvSpPr>
      <xdr:spPr>
        <a:xfrm>
          <a:off x="10059320750" y="2846917"/>
          <a:ext cx="137583" cy="14816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298174</xdr:colOff>
      <xdr:row>4</xdr:row>
      <xdr:rowOff>8282</xdr:rowOff>
    </xdr:from>
    <xdr:to>
      <xdr:col>9</xdr:col>
      <xdr:colOff>557005</xdr:colOff>
      <xdr:row>4</xdr:row>
      <xdr:rowOff>323877</xdr:rowOff>
    </xdr:to>
    <xdr:sp macro="" textlink="">
      <xdr:nvSpPr>
        <xdr:cNvPr id="2" name="Rectangle 1">
          <a:extLst>
            <a:ext uri="{FF2B5EF4-FFF2-40B4-BE49-F238E27FC236}">
              <a16:creationId xmlns:a16="http://schemas.microsoft.com/office/drawing/2014/main" id="{7B485A62-E20F-4388-82E5-7D05B4F1AC8C}"/>
            </a:ext>
          </a:extLst>
        </xdr:cNvPr>
        <xdr:cNvSpPr/>
      </xdr:nvSpPr>
      <xdr:spPr>
        <a:xfrm>
          <a:off x="9982785995" y="6161432"/>
          <a:ext cx="1287531" cy="315595"/>
        </a:xfrm>
        <a:prstGeom prst="rect">
          <a:avLst/>
        </a:prstGeom>
        <a:solidFill>
          <a:sysClr val="window" lastClr="FFFFFF"/>
        </a:solidFill>
        <a:ln w="12700" cap="flat" cmpd="sng" algn="ctr">
          <a:solidFill>
            <a:sysClr val="windowText" lastClr="000000"/>
          </a:solidFill>
          <a:prstDash val="solid"/>
          <a:miter lim="800000"/>
        </a:ln>
        <a:effectLst/>
      </xdr:spPr>
      <xdr:txBody>
        <a:bodyPr rot="0" spcFirstLastPara="0" vert="horz" wrap="square" lIns="91440" tIns="45720" rIns="91440" bIns="45720" numCol="1" spcCol="0" rtlCol="1" fromWordArt="0" anchor="ctr" anchorCtr="0" forceAA="0" compatLnSpc="1">
          <a:prstTxWarp prst="textNoShape">
            <a:avLst/>
          </a:prstTxWarp>
          <a:noAutofit/>
        </a:bodyPr>
        <a:lstStyle/>
        <a:p>
          <a:pPr marL="0" marR="0" algn="ctr" rtl="1">
            <a:lnSpc>
              <a:spcPct val="107000"/>
            </a:lnSpc>
            <a:spcBef>
              <a:spcPts val="0"/>
            </a:spcBef>
            <a:spcAft>
              <a:spcPts val="800"/>
            </a:spcAft>
          </a:pPr>
          <a:r>
            <a:rPr lang="fa-IR" sz="1100" b="1">
              <a:effectLst/>
              <a:latin typeface="Calibri" panose="020F0502020204030204" pitchFamily="34" charset="0"/>
              <a:ea typeface="Calibri" panose="020F0502020204030204" pitchFamily="34" charset="0"/>
              <a:cs typeface="B Nazanin" panose="00000400000000000000" pitchFamily="2" charset="-78"/>
            </a:rPr>
            <a:t>قسمت دوم</a:t>
          </a:r>
          <a:endParaRPr lang="en-US" sz="11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twoCellAnchor>
    <xdr:from>
      <xdr:col>8</xdr:col>
      <xdr:colOff>289891</xdr:colOff>
      <xdr:row>3</xdr:row>
      <xdr:rowOff>16565</xdr:rowOff>
    </xdr:from>
    <xdr:to>
      <xdr:col>9</xdr:col>
      <xdr:colOff>548722</xdr:colOff>
      <xdr:row>3</xdr:row>
      <xdr:rowOff>332160</xdr:rowOff>
    </xdr:to>
    <xdr:sp macro="" textlink="">
      <xdr:nvSpPr>
        <xdr:cNvPr id="3" name="Rectangle 2">
          <a:extLst>
            <a:ext uri="{FF2B5EF4-FFF2-40B4-BE49-F238E27FC236}">
              <a16:creationId xmlns:a16="http://schemas.microsoft.com/office/drawing/2014/main" id="{FB4F9FD6-467E-447C-B546-7BA80BD05590}"/>
            </a:ext>
          </a:extLst>
        </xdr:cNvPr>
        <xdr:cNvSpPr/>
      </xdr:nvSpPr>
      <xdr:spPr>
        <a:xfrm>
          <a:off x="9982794278" y="969065"/>
          <a:ext cx="1287531" cy="315595"/>
        </a:xfrm>
        <a:prstGeom prst="rect">
          <a:avLst/>
        </a:prstGeom>
        <a:solidFill>
          <a:sysClr val="window" lastClr="FFFFFF"/>
        </a:solidFill>
        <a:ln w="12700" cap="flat" cmpd="sng" algn="ctr">
          <a:solidFill>
            <a:sysClr val="windowText" lastClr="000000"/>
          </a:solidFill>
          <a:prstDash val="solid"/>
          <a:miter lim="800000"/>
        </a:ln>
        <a:effectLst/>
      </xdr:spPr>
      <xdr:txBody>
        <a:bodyPr rot="0" spcFirstLastPara="0" vert="horz" wrap="square" lIns="91440" tIns="45720" rIns="91440" bIns="45720" numCol="1" spcCol="0" rtlCol="1" fromWordArt="0" anchor="ctr" anchorCtr="0" forceAA="0" compatLnSpc="1">
          <a:prstTxWarp prst="textNoShape">
            <a:avLst/>
          </a:prstTxWarp>
          <a:noAutofit/>
        </a:bodyPr>
        <a:lstStyle/>
        <a:p>
          <a:pPr marL="0" marR="0" algn="ctr" rtl="1">
            <a:lnSpc>
              <a:spcPct val="107000"/>
            </a:lnSpc>
            <a:spcBef>
              <a:spcPts val="0"/>
            </a:spcBef>
            <a:spcAft>
              <a:spcPts val="800"/>
            </a:spcAft>
          </a:pPr>
          <a:r>
            <a:rPr lang="fa-IR" sz="1100" b="1">
              <a:effectLst/>
              <a:latin typeface="Calibri" panose="020F0502020204030204" pitchFamily="34" charset="0"/>
              <a:ea typeface="Calibri" panose="020F0502020204030204" pitchFamily="34" charset="0"/>
              <a:cs typeface="B Nazanin" panose="00000400000000000000" pitchFamily="2" charset="-78"/>
            </a:rPr>
            <a:t>قسمت اول</a:t>
          </a:r>
          <a:endParaRPr lang="en-US" sz="11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twoCellAnchor>
    <xdr:from>
      <xdr:col>8</xdr:col>
      <xdr:colOff>182219</xdr:colOff>
      <xdr:row>12</xdr:row>
      <xdr:rowOff>16565</xdr:rowOff>
    </xdr:from>
    <xdr:to>
      <xdr:col>9</xdr:col>
      <xdr:colOff>555350</xdr:colOff>
      <xdr:row>12</xdr:row>
      <xdr:rowOff>311840</xdr:rowOff>
    </xdr:to>
    <xdr:sp macro="" textlink="">
      <xdr:nvSpPr>
        <xdr:cNvPr id="5" name="Rectangle 4">
          <a:extLst>
            <a:ext uri="{FF2B5EF4-FFF2-40B4-BE49-F238E27FC236}">
              <a16:creationId xmlns:a16="http://schemas.microsoft.com/office/drawing/2014/main" id="{1C010E50-C4F8-4111-8467-B80BBC5438C9}"/>
            </a:ext>
          </a:extLst>
        </xdr:cNvPr>
        <xdr:cNvSpPr/>
      </xdr:nvSpPr>
      <xdr:spPr>
        <a:xfrm>
          <a:off x="9982787650" y="10427390"/>
          <a:ext cx="1401831" cy="295275"/>
        </a:xfrm>
        <a:prstGeom prst="rect">
          <a:avLst/>
        </a:prstGeom>
        <a:solidFill>
          <a:sysClr val="window" lastClr="FFFFFF"/>
        </a:solidFill>
        <a:ln w="12700" cap="flat" cmpd="sng" algn="ctr">
          <a:solidFill>
            <a:sysClr val="windowText" lastClr="000000"/>
          </a:solidFill>
          <a:prstDash val="solid"/>
          <a:miter lim="800000"/>
        </a:ln>
        <a:effectLst/>
      </xdr:spPr>
      <xdr:txBody>
        <a:bodyPr rot="0" spcFirstLastPara="0" vert="horz" wrap="square" lIns="91440" tIns="45720" rIns="91440" bIns="45720" numCol="1" spcCol="0" rtlCol="1" fromWordArt="0" anchor="ctr" anchorCtr="0" forceAA="0" compatLnSpc="1">
          <a:prstTxWarp prst="textNoShape">
            <a:avLst/>
          </a:prstTxWarp>
          <a:noAutofit/>
        </a:bodyPr>
        <a:lstStyle/>
        <a:p>
          <a:pPr marL="0" marR="0" algn="ctr" rtl="1">
            <a:lnSpc>
              <a:spcPct val="107000"/>
            </a:lnSpc>
            <a:spcBef>
              <a:spcPts val="0"/>
            </a:spcBef>
            <a:spcAft>
              <a:spcPts val="800"/>
            </a:spcAft>
          </a:pPr>
          <a:r>
            <a:rPr lang="fa-IR" sz="1100" b="1">
              <a:effectLst/>
              <a:latin typeface="Calibri" panose="020F0502020204030204" pitchFamily="34" charset="0"/>
              <a:ea typeface="Calibri" panose="020F0502020204030204" pitchFamily="34" charset="0"/>
              <a:cs typeface="B Nazanin" panose="00000400000000000000" pitchFamily="2" charset="-78"/>
            </a:rPr>
            <a:t>قسمت سوم</a:t>
          </a:r>
          <a:endParaRPr lang="en-US" sz="11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twoCellAnchor editAs="oneCell">
    <xdr:from>
      <xdr:col>6</xdr:col>
      <xdr:colOff>47627</xdr:colOff>
      <xdr:row>0</xdr:row>
      <xdr:rowOff>76200</xdr:rowOff>
    </xdr:from>
    <xdr:to>
      <xdr:col>6</xdr:col>
      <xdr:colOff>797383</xdr:colOff>
      <xdr:row>2</xdr:row>
      <xdr:rowOff>479955</xdr:rowOff>
    </xdr:to>
    <xdr:pic>
      <xdr:nvPicPr>
        <xdr:cNvPr id="6" name="Picture 5">
          <a:extLst>
            <a:ext uri="{FF2B5EF4-FFF2-40B4-BE49-F238E27FC236}">
              <a16:creationId xmlns:a16="http://schemas.microsoft.com/office/drawing/2014/main" id="{D5427019-92EA-41EE-A750-2D0D067FF4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5498367" y="76200"/>
          <a:ext cx="749756" cy="799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298174</xdr:colOff>
      <xdr:row>4</xdr:row>
      <xdr:rowOff>8282</xdr:rowOff>
    </xdr:from>
    <xdr:to>
      <xdr:col>9</xdr:col>
      <xdr:colOff>557005</xdr:colOff>
      <xdr:row>4</xdr:row>
      <xdr:rowOff>323877</xdr:rowOff>
    </xdr:to>
    <xdr:sp macro="" textlink="">
      <xdr:nvSpPr>
        <xdr:cNvPr id="2" name="Rectangle 1">
          <a:extLst>
            <a:ext uri="{FF2B5EF4-FFF2-40B4-BE49-F238E27FC236}">
              <a16:creationId xmlns:a16="http://schemas.microsoft.com/office/drawing/2014/main" id="{879BFADE-5656-4C5F-A60D-447C8DB3F219}"/>
            </a:ext>
          </a:extLst>
        </xdr:cNvPr>
        <xdr:cNvSpPr/>
      </xdr:nvSpPr>
      <xdr:spPr>
        <a:xfrm>
          <a:off x="9982785995" y="4675532"/>
          <a:ext cx="1287531" cy="315595"/>
        </a:xfrm>
        <a:prstGeom prst="rect">
          <a:avLst/>
        </a:prstGeom>
        <a:solidFill>
          <a:sysClr val="window" lastClr="FFFFFF"/>
        </a:solidFill>
        <a:ln w="12700" cap="flat" cmpd="sng" algn="ctr">
          <a:solidFill>
            <a:sysClr val="windowText" lastClr="000000"/>
          </a:solidFill>
          <a:prstDash val="solid"/>
          <a:miter lim="800000"/>
        </a:ln>
        <a:effectLst/>
      </xdr:spPr>
      <xdr:txBody>
        <a:bodyPr rot="0" spcFirstLastPara="0" vert="horz" wrap="square" lIns="91440" tIns="45720" rIns="91440" bIns="45720" numCol="1" spcCol="0" rtlCol="1" fromWordArt="0" anchor="ctr" anchorCtr="0" forceAA="0" compatLnSpc="1">
          <a:prstTxWarp prst="textNoShape">
            <a:avLst/>
          </a:prstTxWarp>
          <a:noAutofit/>
        </a:bodyPr>
        <a:lstStyle/>
        <a:p>
          <a:pPr marL="0" marR="0" algn="ctr" rtl="1">
            <a:lnSpc>
              <a:spcPct val="107000"/>
            </a:lnSpc>
            <a:spcBef>
              <a:spcPts val="0"/>
            </a:spcBef>
            <a:spcAft>
              <a:spcPts val="800"/>
            </a:spcAft>
          </a:pPr>
          <a:r>
            <a:rPr lang="fa-IR" sz="1100" b="1">
              <a:effectLst/>
              <a:latin typeface="Calibri" panose="020F0502020204030204" pitchFamily="34" charset="0"/>
              <a:ea typeface="Calibri" panose="020F0502020204030204" pitchFamily="34" charset="0"/>
              <a:cs typeface="B Nazanin" panose="00000400000000000000" pitchFamily="2" charset="-78"/>
            </a:rPr>
            <a:t>قسمت دوم</a:t>
          </a:r>
          <a:endParaRPr lang="en-US" sz="11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twoCellAnchor>
    <xdr:from>
      <xdr:col>8</xdr:col>
      <xdr:colOff>289891</xdr:colOff>
      <xdr:row>3</xdr:row>
      <xdr:rowOff>16565</xdr:rowOff>
    </xdr:from>
    <xdr:to>
      <xdr:col>9</xdr:col>
      <xdr:colOff>548722</xdr:colOff>
      <xdr:row>3</xdr:row>
      <xdr:rowOff>332160</xdr:rowOff>
    </xdr:to>
    <xdr:sp macro="" textlink="">
      <xdr:nvSpPr>
        <xdr:cNvPr id="3" name="Rectangle 2">
          <a:extLst>
            <a:ext uri="{FF2B5EF4-FFF2-40B4-BE49-F238E27FC236}">
              <a16:creationId xmlns:a16="http://schemas.microsoft.com/office/drawing/2014/main" id="{B29AA29A-997C-43E1-824C-310DB4C3017B}"/>
            </a:ext>
          </a:extLst>
        </xdr:cNvPr>
        <xdr:cNvSpPr/>
      </xdr:nvSpPr>
      <xdr:spPr>
        <a:xfrm>
          <a:off x="9982794278" y="969065"/>
          <a:ext cx="1287531" cy="315595"/>
        </a:xfrm>
        <a:prstGeom prst="rect">
          <a:avLst/>
        </a:prstGeom>
        <a:solidFill>
          <a:sysClr val="window" lastClr="FFFFFF"/>
        </a:solidFill>
        <a:ln w="12700" cap="flat" cmpd="sng" algn="ctr">
          <a:solidFill>
            <a:sysClr val="windowText" lastClr="000000"/>
          </a:solidFill>
          <a:prstDash val="solid"/>
          <a:miter lim="800000"/>
        </a:ln>
        <a:effectLst/>
      </xdr:spPr>
      <xdr:txBody>
        <a:bodyPr rot="0" spcFirstLastPara="0" vert="horz" wrap="square" lIns="91440" tIns="45720" rIns="91440" bIns="45720" numCol="1" spcCol="0" rtlCol="1" fromWordArt="0" anchor="ctr" anchorCtr="0" forceAA="0" compatLnSpc="1">
          <a:prstTxWarp prst="textNoShape">
            <a:avLst/>
          </a:prstTxWarp>
          <a:noAutofit/>
        </a:bodyPr>
        <a:lstStyle/>
        <a:p>
          <a:pPr marL="0" marR="0" algn="ctr" rtl="1">
            <a:lnSpc>
              <a:spcPct val="107000"/>
            </a:lnSpc>
            <a:spcBef>
              <a:spcPts val="0"/>
            </a:spcBef>
            <a:spcAft>
              <a:spcPts val="800"/>
            </a:spcAft>
          </a:pPr>
          <a:r>
            <a:rPr lang="fa-IR" sz="1100" b="1">
              <a:effectLst/>
              <a:latin typeface="Calibri" panose="020F0502020204030204" pitchFamily="34" charset="0"/>
              <a:ea typeface="Calibri" panose="020F0502020204030204" pitchFamily="34" charset="0"/>
              <a:cs typeface="B Nazanin" panose="00000400000000000000" pitchFamily="2" charset="-78"/>
            </a:rPr>
            <a:t>قسمت اول</a:t>
          </a:r>
          <a:endParaRPr lang="en-US" sz="11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twoCellAnchor>
    <xdr:from>
      <xdr:col>8</xdr:col>
      <xdr:colOff>182219</xdr:colOff>
      <xdr:row>12</xdr:row>
      <xdr:rowOff>16565</xdr:rowOff>
    </xdr:from>
    <xdr:to>
      <xdr:col>9</xdr:col>
      <xdr:colOff>555350</xdr:colOff>
      <xdr:row>12</xdr:row>
      <xdr:rowOff>311840</xdr:rowOff>
    </xdr:to>
    <xdr:sp macro="" textlink="">
      <xdr:nvSpPr>
        <xdr:cNvPr id="4" name="Rectangle 3">
          <a:extLst>
            <a:ext uri="{FF2B5EF4-FFF2-40B4-BE49-F238E27FC236}">
              <a16:creationId xmlns:a16="http://schemas.microsoft.com/office/drawing/2014/main" id="{C683A554-22EB-476D-AE98-F0A24F0485A8}"/>
            </a:ext>
          </a:extLst>
        </xdr:cNvPr>
        <xdr:cNvSpPr/>
      </xdr:nvSpPr>
      <xdr:spPr>
        <a:xfrm>
          <a:off x="9982787650" y="8058150"/>
          <a:ext cx="1401831" cy="0"/>
        </a:xfrm>
        <a:prstGeom prst="rect">
          <a:avLst/>
        </a:prstGeom>
        <a:solidFill>
          <a:sysClr val="window" lastClr="FFFFFF"/>
        </a:solidFill>
        <a:ln w="12700" cap="flat" cmpd="sng" algn="ctr">
          <a:solidFill>
            <a:sysClr val="windowText" lastClr="000000"/>
          </a:solidFill>
          <a:prstDash val="solid"/>
          <a:miter lim="800000"/>
        </a:ln>
        <a:effectLst/>
      </xdr:spPr>
      <xdr:txBody>
        <a:bodyPr rot="0" spcFirstLastPara="0" vert="horz" wrap="square" lIns="91440" tIns="45720" rIns="91440" bIns="45720" numCol="1" spcCol="0" rtlCol="1" fromWordArt="0" anchor="ctr" anchorCtr="0" forceAA="0" compatLnSpc="1">
          <a:prstTxWarp prst="textNoShape">
            <a:avLst/>
          </a:prstTxWarp>
          <a:noAutofit/>
        </a:bodyPr>
        <a:lstStyle/>
        <a:p>
          <a:pPr marL="0" marR="0" algn="ctr" rtl="1">
            <a:lnSpc>
              <a:spcPct val="107000"/>
            </a:lnSpc>
            <a:spcBef>
              <a:spcPts val="0"/>
            </a:spcBef>
            <a:spcAft>
              <a:spcPts val="800"/>
            </a:spcAft>
          </a:pPr>
          <a:r>
            <a:rPr lang="fa-IR" sz="1100" b="1">
              <a:effectLst/>
              <a:latin typeface="Calibri" panose="020F0502020204030204" pitchFamily="34" charset="0"/>
              <a:ea typeface="Calibri" panose="020F0502020204030204" pitchFamily="34" charset="0"/>
              <a:cs typeface="B Nazanin" panose="00000400000000000000" pitchFamily="2" charset="-78"/>
            </a:rPr>
            <a:t>قسمت سوم</a:t>
          </a:r>
          <a:endParaRPr lang="en-US" sz="11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twoCellAnchor>
    <xdr:from>
      <xdr:col>116</xdr:col>
      <xdr:colOff>342299</xdr:colOff>
      <xdr:row>0</xdr:row>
      <xdr:rowOff>76200</xdr:rowOff>
    </xdr:from>
    <xdr:to>
      <xdr:col>120</xdr:col>
      <xdr:colOff>363466</xdr:colOff>
      <xdr:row>4</xdr:row>
      <xdr:rowOff>1291166</xdr:rowOff>
    </xdr:to>
    <xdr:pic>
      <xdr:nvPicPr>
        <xdr:cNvPr id="5" name="Picture 4">
          <a:extLst>
            <a:ext uri="{FF2B5EF4-FFF2-40B4-BE49-F238E27FC236}">
              <a16:creationId xmlns:a16="http://schemas.microsoft.com/office/drawing/2014/main" id="{658E1E6A-31E9-4D0A-AD22-A9E61B8C31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14170934" y="76200"/>
          <a:ext cx="2459567" cy="58822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105833</xdr:colOff>
      <xdr:row>0</xdr:row>
      <xdr:rowOff>0</xdr:rowOff>
    </xdr:from>
    <xdr:to>
      <xdr:col>7</xdr:col>
      <xdr:colOff>793750</xdr:colOff>
      <xdr:row>2</xdr:row>
      <xdr:rowOff>539750</xdr:rowOff>
    </xdr:to>
    <xdr:pic>
      <xdr:nvPicPr>
        <xdr:cNvPr id="6" name="Picture 5">
          <a:extLst>
            <a:ext uri="{FF2B5EF4-FFF2-40B4-BE49-F238E27FC236}">
              <a16:creationId xmlns:a16="http://schemas.microsoft.com/office/drawing/2014/main" id="{91FCC985-3ABE-453C-BE4F-FDDDC8D069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568550" y="0"/>
          <a:ext cx="2230967" cy="930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B19"/>
  <sheetViews>
    <sheetView rightToLeft="1" view="pageBreakPreview" topLeftCell="B4" zoomScale="140" zoomScaleNormal="90" zoomScaleSheetLayoutView="140" workbookViewId="0">
      <selection activeCell="C8" sqref="C8:H8"/>
    </sheetView>
  </sheetViews>
  <sheetFormatPr defaultRowHeight="21"/>
  <cols>
    <col min="1" max="2" width="9.140625" style="1"/>
    <col min="3" max="3" width="11.140625" style="1" bestFit="1" customWidth="1"/>
    <col min="4" max="4" width="10.140625" style="1" bestFit="1" customWidth="1"/>
    <col min="5" max="8" width="9.140625" style="1"/>
    <col min="9" max="9" width="14" style="1" customWidth="1"/>
    <col min="10" max="10" width="14.85546875" style="1" customWidth="1"/>
    <col min="11" max="11" width="15.42578125" style="1" customWidth="1"/>
    <col min="12" max="12" width="26.28515625" style="1" customWidth="1"/>
    <col min="13" max="13" width="6.5703125" style="1" customWidth="1"/>
    <col min="14" max="14" width="5.7109375" style="1" customWidth="1"/>
    <col min="15" max="16384" width="9.140625" style="1"/>
  </cols>
  <sheetData>
    <row r="1" spans="2:28" ht="21.75" thickBot="1">
      <c r="B1" s="3"/>
      <c r="C1" s="4"/>
      <c r="D1" s="4"/>
      <c r="E1" s="4"/>
      <c r="F1" s="4"/>
      <c r="G1" s="4"/>
      <c r="H1" s="4"/>
      <c r="I1" s="4"/>
      <c r="J1" s="4"/>
      <c r="K1" s="4"/>
      <c r="L1" s="4"/>
      <c r="M1" s="5"/>
    </row>
    <row r="2" spans="2:28" ht="15.75" customHeight="1" thickTop="1">
      <c r="B2" s="6"/>
      <c r="C2" s="78" t="s">
        <v>0</v>
      </c>
      <c r="D2" s="78"/>
      <c r="E2" s="78"/>
      <c r="F2" s="78"/>
      <c r="G2" s="78"/>
      <c r="H2" s="78"/>
      <c r="I2" s="78"/>
      <c r="J2" s="78"/>
      <c r="K2" s="78"/>
      <c r="L2" s="78"/>
      <c r="M2" s="79"/>
    </row>
    <row r="3" spans="2:28" ht="15" customHeight="1">
      <c r="B3" s="7"/>
      <c r="C3" s="80"/>
      <c r="D3" s="80"/>
      <c r="E3" s="80"/>
      <c r="F3" s="80"/>
      <c r="G3" s="80"/>
      <c r="H3" s="80"/>
      <c r="I3" s="80"/>
      <c r="J3" s="80"/>
      <c r="K3" s="80"/>
      <c r="L3" s="80"/>
      <c r="M3" s="81"/>
    </row>
    <row r="4" spans="2:28" ht="15" customHeight="1">
      <c r="B4" s="7"/>
      <c r="C4" s="80"/>
      <c r="D4" s="80"/>
      <c r="E4" s="80"/>
      <c r="F4" s="80"/>
      <c r="G4" s="80"/>
      <c r="H4" s="80"/>
      <c r="I4" s="80"/>
      <c r="J4" s="80"/>
      <c r="K4" s="80"/>
      <c r="L4" s="80"/>
      <c r="M4" s="81"/>
    </row>
    <row r="5" spans="2:28" ht="65.25" customHeight="1">
      <c r="B5" s="7"/>
      <c r="C5" s="83" t="s">
        <v>15</v>
      </c>
      <c r="D5" s="83"/>
      <c r="E5" s="83"/>
      <c r="F5" s="83"/>
      <c r="G5" s="83"/>
      <c r="H5" s="83"/>
      <c r="I5" s="83"/>
      <c r="J5" s="80" t="s">
        <v>55</v>
      </c>
      <c r="K5" s="80"/>
      <c r="L5" s="80"/>
      <c r="M5" s="81"/>
      <c r="X5" s="2"/>
    </row>
    <row r="6" spans="2:28" ht="69" customHeight="1" thickBot="1">
      <c r="B6" s="92" t="s">
        <v>54</v>
      </c>
      <c r="C6" s="93"/>
      <c r="D6" s="93"/>
      <c r="E6" s="93"/>
      <c r="F6" s="93"/>
      <c r="G6" s="93"/>
      <c r="H6" s="93"/>
      <c r="I6" s="93"/>
      <c r="J6" s="93"/>
      <c r="K6" s="93"/>
      <c r="L6" s="93"/>
      <c r="M6" s="94"/>
    </row>
    <row r="7" spans="2:28" ht="68.25" customHeight="1" thickTop="1" thickBot="1">
      <c r="B7" s="7"/>
      <c r="C7" s="90" t="s">
        <v>57</v>
      </c>
      <c r="D7" s="91"/>
      <c r="E7" s="91"/>
      <c r="F7" s="91"/>
      <c r="G7" s="91"/>
      <c r="H7" s="91"/>
      <c r="I7" s="91"/>
      <c r="J7" s="91"/>
      <c r="K7" s="91"/>
      <c r="L7" s="91"/>
      <c r="M7" s="8"/>
    </row>
    <row r="8" spans="2:28" ht="33" customHeight="1" thickTop="1" thickBot="1">
      <c r="B8" s="7"/>
      <c r="C8" s="95" t="s">
        <v>8</v>
      </c>
      <c r="D8" s="95"/>
      <c r="E8" s="95"/>
      <c r="F8" s="95"/>
      <c r="G8" s="95"/>
      <c r="H8" s="95"/>
      <c r="I8" s="96" t="s">
        <v>2</v>
      </c>
      <c r="J8" s="96"/>
      <c r="K8" s="96"/>
      <c r="L8" s="96"/>
      <c r="M8" s="9"/>
    </row>
    <row r="9" spans="2:28" ht="57" customHeight="1" thickTop="1" thickBot="1">
      <c r="B9" s="7"/>
      <c r="C9" s="190" t="s">
        <v>56</v>
      </c>
      <c r="D9" s="73"/>
      <c r="E9" s="73"/>
      <c r="F9" s="73"/>
      <c r="G9" s="73"/>
      <c r="H9" s="74"/>
      <c r="I9" s="75" t="s">
        <v>18</v>
      </c>
      <c r="J9" s="76"/>
      <c r="K9" s="76"/>
      <c r="L9" s="77"/>
      <c r="M9" s="10"/>
      <c r="N9" s="84" t="s">
        <v>9</v>
      </c>
      <c r="R9" s="71"/>
      <c r="S9" s="72"/>
      <c r="T9" s="72"/>
      <c r="U9" s="72"/>
      <c r="V9" s="72"/>
      <c r="W9" s="72"/>
      <c r="X9" s="72"/>
      <c r="Y9" s="72"/>
      <c r="Z9" s="72"/>
      <c r="AA9" s="72"/>
      <c r="AB9" s="72"/>
    </row>
    <row r="10" spans="2:28" ht="22.5" thickTop="1" thickBot="1">
      <c r="B10" s="7"/>
      <c r="C10" s="85" t="s">
        <v>1</v>
      </c>
      <c r="D10" s="85"/>
      <c r="E10" s="85"/>
      <c r="F10" s="85"/>
      <c r="G10" s="85"/>
      <c r="H10" s="85"/>
      <c r="I10" s="85" t="s">
        <v>2</v>
      </c>
      <c r="J10" s="85"/>
      <c r="K10" s="85"/>
      <c r="L10" s="85"/>
      <c r="M10" s="11"/>
      <c r="N10" s="84"/>
    </row>
    <row r="11" spans="2:28" ht="22.5" thickTop="1" thickBot="1">
      <c r="B11" s="7"/>
      <c r="C11" s="82" t="s">
        <v>11</v>
      </c>
      <c r="D11" s="82"/>
      <c r="E11" s="85"/>
      <c r="F11" s="85"/>
      <c r="G11" s="85"/>
      <c r="H11" s="85"/>
      <c r="I11" s="82" t="s">
        <v>12</v>
      </c>
      <c r="J11" s="82"/>
      <c r="K11" s="82"/>
      <c r="L11" s="82"/>
      <c r="M11" s="12"/>
      <c r="N11" s="84"/>
    </row>
    <row r="12" spans="2:28" ht="22.5" thickTop="1" thickBot="1">
      <c r="B12" s="7"/>
      <c r="C12" s="82" t="s">
        <v>13</v>
      </c>
      <c r="D12" s="82"/>
      <c r="E12" s="82" t="s">
        <v>3</v>
      </c>
      <c r="F12" s="82"/>
      <c r="G12" s="82"/>
      <c r="H12" s="82"/>
      <c r="I12" s="82" t="s">
        <v>14</v>
      </c>
      <c r="J12" s="82"/>
      <c r="K12" s="82"/>
      <c r="L12" s="82"/>
      <c r="M12" s="12"/>
      <c r="N12" s="84"/>
    </row>
    <row r="13" spans="2:28" ht="22.5" thickTop="1" thickBot="1">
      <c r="B13" s="7"/>
      <c r="C13" s="97" t="s">
        <v>17</v>
      </c>
      <c r="D13" s="98"/>
      <c r="E13" s="99" t="s">
        <v>16</v>
      </c>
      <c r="F13" s="99"/>
      <c r="G13" s="99"/>
      <c r="H13" s="99"/>
      <c r="I13" s="82" t="s">
        <v>4</v>
      </c>
      <c r="J13" s="82"/>
      <c r="K13" s="82"/>
      <c r="L13" s="82"/>
      <c r="M13" s="12"/>
      <c r="N13" s="84"/>
    </row>
    <row r="14" spans="2:28" ht="22.5" thickTop="1" thickBot="1">
      <c r="B14" s="7"/>
      <c r="C14" s="82" t="s">
        <v>5</v>
      </c>
      <c r="D14" s="82"/>
      <c r="E14" s="82"/>
      <c r="F14" s="82"/>
      <c r="G14" s="82"/>
      <c r="H14" s="82"/>
      <c r="I14" s="82"/>
      <c r="J14" s="82"/>
      <c r="K14" s="82"/>
      <c r="L14" s="82"/>
      <c r="M14" s="12"/>
      <c r="N14" s="84"/>
    </row>
    <row r="15" spans="2:28" ht="15.75" customHeight="1" thickTop="1" thickBot="1">
      <c r="B15" s="7"/>
      <c r="C15" s="86" t="s">
        <v>6</v>
      </c>
      <c r="D15" s="86"/>
      <c r="E15" s="86"/>
      <c r="F15" s="86"/>
      <c r="G15" s="86"/>
      <c r="H15" s="86"/>
      <c r="I15" s="88" t="s">
        <v>7</v>
      </c>
      <c r="J15" s="86"/>
      <c r="K15" s="86"/>
      <c r="L15" s="86"/>
      <c r="M15" s="9"/>
      <c r="N15" s="84"/>
    </row>
    <row r="16" spans="2:28" ht="22.5" thickTop="1" thickBot="1">
      <c r="B16" s="7"/>
      <c r="C16" s="86"/>
      <c r="D16" s="86"/>
      <c r="E16" s="86"/>
      <c r="F16" s="86"/>
      <c r="G16" s="86"/>
      <c r="H16" s="86"/>
      <c r="I16" s="86"/>
      <c r="J16" s="86"/>
      <c r="K16" s="86"/>
      <c r="L16" s="86"/>
      <c r="M16" s="9"/>
    </row>
    <row r="17" spans="2:13" ht="9.75" customHeight="1" thickTop="1">
      <c r="B17" s="7"/>
      <c r="C17" s="87"/>
      <c r="D17" s="87"/>
      <c r="E17" s="87"/>
      <c r="F17" s="87"/>
      <c r="G17" s="87"/>
      <c r="H17" s="87"/>
      <c r="I17" s="87"/>
      <c r="J17" s="87"/>
      <c r="K17" s="87"/>
      <c r="L17" s="87"/>
      <c r="M17" s="9"/>
    </row>
    <row r="18" spans="2:13" ht="5.25" customHeight="1" thickBot="1">
      <c r="B18" s="13"/>
      <c r="C18" s="14"/>
      <c r="D18" s="14"/>
      <c r="E18" s="14"/>
      <c r="F18" s="14"/>
      <c r="G18" s="14"/>
      <c r="H18" s="14"/>
      <c r="I18" s="14"/>
      <c r="J18" s="14"/>
      <c r="K18" s="14"/>
      <c r="L18" s="14"/>
      <c r="M18" s="15"/>
    </row>
    <row r="19" spans="2:13" ht="21.75" thickTop="1">
      <c r="D19" s="89" t="s">
        <v>10</v>
      </c>
      <c r="E19" s="89"/>
      <c r="F19" s="89"/>
      <c r="G19" s="89"/>
      <c r="H19" s="89"/>
      <c r="I19" s="89"/>
      <c r="J19" s="89"/>
      <c r="K19" s="89"/>
    </row>
  </sheetData>
  <mergeCells count="26">
    <mergeCell ref="D19:K19"/>
    <mergeCell ref="C7:L7"/>
    <mergeCell ref="B6:M6"/>
    <mergeCell ref="C8:H8"/>
    <mergeCell ref="I8:L8"/>
    <mergeCell ref="I13:L13"/>
    <mergeCell ref="I12:L12"/>
    <mergeCell ref="I11:L11"/>
    <mergeCell ref="C13:D13"/>
    <mergeCell ref="E13:H13"/>
    <mergeCell ref="E11:H11"/>
    <mergeCell ref="C12:D12"/>
    <mergeCell ref="E12:H12"/>
    <mergeCell ref="C11:D11"/>
    <mergeCell ref="R9:AB9"/>
    <mergeCell ref="C9:H9"/>
    <mergeCell ref="I9:L9"/>
    <mergeCell ref="C2:M4"/>
    <mergeCell ref="C14:L14"/>
    <mergeCell ref="J5:M5"/>
    <mergeCell ref="C5:I5"/>
    <mergeCell ref="N9:N15"/>
    <mergeCell ref="C10:H10"/>
    <mergeCell ref="I10:L10"/>
    <mergeCell ref="C15:H17"/>
    <mergeCell ref="I15:L17"/>
  </mergeCells>
  <pageMargins left="0.25" right="0.25" top="0.75" bottom="0.75" header="0.3" footer="0.3"/>
  <pageSetup paperSize="9" scale="95"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34"/>
  <sheetViews>
    <sheetView rightToLeft="1" view="pageBreakPreview" zoomScale="60" zoomScaleNormal="100" workbookViewId="0">
      <selection activeCell="B9" sqref="B9:N16"/>
    </sheetView>
  </sheetViews>
  <sheetFormatPr defaultRowHeight="15"/>
  <sheetData>
    <row r="2" spans="2:14" ht="15.75" thickBot="1"/>
    <row r="3" spans="2:14" ht="15.75" thickTop="1">
      <c r="B3" s="100" t="s">
        <v>34</v>
      </c>
      <c r="C3" s="101"/>
      <c r="D3" s="101"/>
      <c r="E3" s="101"/>
      <c r="F3" s="101"/>
      <c r="G3" s="101"/>
      <c r="H3" s="101"/>
      <c r="I3" s="101"/>
      <c r="J3" s="101"/>
      <c r="K3" s="101"/>
      <c r="L3" s="101"/>
      <c r="M3" s="101"/>
      <c r="N3" s="102"/>
    </row>
    <row r="4" spans="2:14">
      <c r="B4" s="103"/>
      <c r="C4" s="104"/>
      <c r="D4" s="104"/>
      <c r="E4" s="104"/>
      <c r="F4" s="104"/>
      <c r="G4" s="104"/>
      <c r="H4" s="104"/>
      <c r="I4" s="104"/>
      <c r="J4" s="104"/>
      <c r="K4" s="104"/>
      <c r="L4" s="104"/>
      <c r="M4" s="104"/>
      <c r="N4" s="105"/>
    </row>
    <row r="5" spans="2:14">
      <c r="B5" s="103"/>
      <c r="C5" s="104"/>
      <c r="D5" s="104"/>
      <c r="E5" s="104"/>
      <c r="F5" s="104"/>
      <c r="G5" s="104"/>
      <c r="H5" s="104"/>
      <c r="I5" s="104"/>
      <c r="J5" s="104"/>
      <c r="K5" s="104"/>
      <c r="L5" s="104"/>
      <c r="M5" s="104"/>
      <c r="N5" s="105"/>
    </row>
    <row r="6" spans="2:14">
      <c r="B6" s="103"/>
      <c r="C6" s="104"/>
      <c r="D6" s="104"/>
      <c r="E6" s="104"/>
      <c r="F6" s="104"/>
      <c r="G6" s="104"/>
      <c r="H6" s="104"/>
      <c r="I6" s="104"/>
      <c r="J6" s="104"/>
      <c r="K6" s="104"/>
      <c r="L6" s="104"/>
      <c r="M6" s="104"/>
      <c r="N6" s="105"/>
    </row>
    <row r="7" spans="2:14">
      <c r="B7" s="103"/>
      <c r="C7" s="104"/>
      <c r="D7" s="104"/>
      <c r="E7" s="104"/>
      <c r="F7" s="104"/>
      <c r="G7" s="104"/>
      <c r="H7" s="104"/>
      <c r="I7" s="104"/>
      <c r="J7" s="104"/>
      <c r="K7" s="104"/>
      <c r="L7" s="104"/>
      <c r="M7" s="104"/>
      <c r="N7" s="105"/>
    </row>
    <row r="8" spans="2:14" ht="60" customHeight="1">
      <c r="B8" s="103"/>
      <c r="C8" s="104"/>
      <c r="D8" s="104"/>
      <c r="E8" s="104"/>
      <c r="F8" s="104"/>
      <c r="G8" s="104"/>
      <c r="H8" s="104"/>
      <c r="I8" s="104"/>
      <c r="J8" s="104"/>
      <c r="K8" s="104"/>
      <c r="L8" s="104"/>
      <c r="M8" s="104"/>
      <c r="N8" s="105"/>
    </row>
    <row r="9" spans="2:14" ht="15" customHeight="1">
      <c r="B9" s="106" t="s">
        <v>58</v>
      </c>
      <c r="C9" s="107"/>
      <c r="D9" s="107"/>
      <c r="E9" s="107"/>
      <c r="F9" s="107"/>
      <c r="G9" s="107"/>
      <c r="H9" s="107"/>
      <c r="I9" s="107"/>
      <c r="J9" s="107"/>
      <c r="K9" s="107"/>
      <c r="L9" s="107"/>
      <c r="M9" s="107"/>
      <c r="N9" s="108"/>
    </row>
    <row r="10" spans="2:14">
      <c r="B10" s="106"/>
      <c r="C10" s="107"/>
      <c r="D10" s="107"/>
      <c r="E10" s="107"/>
      <c r="F10" s="107"/>
      <c r="G10" s="107"/>
      <c r="H10" s="107"/>
      <c r="I10" s="107"/>
      <c r="J10" s="107"/>
      <c r="K10" s="107"/>
      <c r="L10" s="107"/>
      <c r="M10" s="107"/>
      <c r="N10" s="108"/>
    </row>
    <row r="11" spans="2:14">
      <c r="B11" s="106"/>
      <c r="C11" s="107"/>
      <c r="D11" s="107"/>
      <c r="E11" s="107"/>
      <c r="F11" s="107"/>
      <c r="G11" s="107"/>
      <c r="H11" s="107"/>
      <c r="I11" s="107"/>
      <c r="J11" s="107"/>
      <c r="K11" s="107"/>
      <c r="L11" s="107"/>
      <c r="M11" s="107"/>
      <c r="N11" s="108"/>
    </row>
    <row r="12" spans="2:14">
      <c r="B12" s="106"/>
      <c r="C12" s="107"/>
      <c r="D12" s="107"/>
      <c r="E12" s="107"/>
      <c r="F12" s="107"/>
      <c r="G12" s="107"/>
      <c r="H12" s="107"/>
      <c r="I12" s="107"/>
      <c r="J12" s="107"/>
      <c r="K12" s="107"/>
      <c r="L12" s="107"/>
      <c r="M12" s="107"/>
      <c r="N12" s="108"/>
    </row>
    <row r="13" spans="2:14">
      <c r="B13" s="106"/>
      <c r="C13" s="107"/>
      <c r="D13" s="107"/>
      <c r="E13" s="107"/>
      <c r="F13" s="107"/>
      <c r="G13" s="107"/>
      <c r="H13" s="107"/>
      <c r="I13" s="107"/>
      <c r="J13" s="107"/>
      <c r="K13" s="107"/>
      <c r="L13" s="107"/>
      <c r="M13" s="107"/>
      <c r="N13" s="108"/>
    </row>
    <row r="14" spans="2:14">
      <c r="B14" s="106"/>
      <c r="C14" s="107"/>
      <c r="D14" s="107"/>
      <c r="E14" s="107"/>
      <c r="F14" s="107"/>
      <c r="G14" s="107"/>
      <c r="H14" s="107"/>
      <c r="I14" s="107"/>
      <c r="J14" s="107"/>
      <c r="K14" s="107"/>
      <c r="L14" s="107"/>
      <c r="M14" s="107"/>
      <c r="N14" s="108"/>
    </row>
    <row r="15" spans="2:14">
      <c r="B15" s="106"/>
      <c r="C15" s="107"/>
      <c r="D15" s="107"/>
      <c r="E15" s="107"/>
      <c r="F15" s="107"/>
      <c r="G15" s="107"/>
      <c r="H15" s="107"/>
      <c r="I15" s="107"/>
      <c r="J15" s="107"/>
      <c r="K15" s="107"/>
      <c r="L15" s="107"/>
      <c r="M15" s="107"/>
      <c r="N15" s="108"/>
    </row>
    <row r="16" spans="2:14" ht="93" customHeight="1">
      <c r="B16" s="106"/>
      <c r="C16" s="107"/>
      <c r="D16" s="107"/>
      <c r="E16" s="107"/>
      <c r="F16" s="107"/>
      <c r="G16" s="107"/>
      <c r="H16" s="107"/>
      <c r="I16" s="107"/>
      <c r="J16" s="107"/>
      <c r="K16" s="107"/>
      <c r="L16" s="107"/>
      <c r="M16" s="107"/>
      <c r="N16" s="108"/>
    </row>
    <row r="17" spans="2:14" ht="15" customHeight="1">
      <c r="B17" s="120" t="s">
        <v>35</v>
      </c>
      <c r="C17" s="121"/>
      <c r="D17" s="121"/>
      <c r="E17" s="121"/>
      <c r="F17" s="121"/>
      <c r="G17" s="121"/>
      <c r="H17" s="29"/>
      <c r="I17" s="109" t="s">
        <v>36</v>
      </c>
      <c r="J17" s="109"/>
      <c r="K17" s="109"/>
      <c r="L17" s="109"/>
      <c r="M17" s="109"/>
      <c r="N17" s="110"/>
    </row>
    <row r="18" spans="2:14">
      <c r="B18" s="120"/>
      <c r="C18" s="121"/>
      <c r="D18" s="121"/>
      <c r="E18" s="121"/>
      <c r="F18" s="121"/>
      <c r="G18" s="121"/>
      <c r="H18" s="29"/>
      <c r="I18" s="109"/>
      <c r="J18" s="109"/>
      <c r="K18" s="109"/>
      <c r="L18" s="109"/>
      <c r="M18" s="109"/>
      <c r="N18" s="110"/>
    </row>
    <row r="19" spans="2:14">
      <c r="B19" s="120"/>
      <c r="C19" s="121"/>
      <c r="D19" s="121"/>
      <c r="E19" s="121"/>
      <c r="F19" s="121"/>
      <c r="G19" s="121"/>
      <c r="H19" s="29"/>
      <c r="I19" s="109"/>
      <c r="J19" s="109"/>
      <c r="K19" s="109"/>
      <c r="L19" s="109"/>
      <c r="M19" s="109"/>
      <c r="N19" s="110"/>
    </row>
    <row r="20" spans="2:14">
      <c r="B20" s="120"/>
      <c r="C20" s="121"/>
      <c r="D20" s="121"/>
      <c r="E20" s="121"/>
      <c r="F20" s="121"/>
      <c r="G20" s="121"/>
      <c r="H20" s="29"/>
      <c r="I20" s="109"/>
      <c r="J20" s="109"/>
      <c r="K20" s="109"/>
      <c r="L20" s="109"/>
      <c r="M20" s="109"/>
      <c r="N20" s="110"/>
    </row>
    <row r="21" spans="2:14">
      <c r="B21" s="120"/>
      <c r="C21" s="121"/>
      <c r="D21" s="121"/>
      <c r="E21" s="121"/>
      <c r="F21" s="121"/>
      <c r="G21" s="121"/>
      <c r="H21" s="29"/>
      <c r="I21" s="109"/>
      <c r="J21" s="109"/>
      <c r="K21" s="109"/>
      <c r="L21" s="109"/>
      <c r="M21" s="109"/>
      <c r="N21" s="110"/>
    </row>
    <row r="22" spans="2:14" ht="15.75" thickBot="1">
      <c r="B22" s="120"/>
      <c r="C22" s="121"/>
      <c r="D22" s="121"/>
      <c r="E22" s="121"/>
      <c r="F22" s="121"/>
      <c r="G22" s="121"/>
      <c r="H22" s="29"/>
      <c r="I22" s="109"/>
      <c r="J22" s="109"/>
      <c r="K22" s="109"/>
      <c r="L22" s="109"/>
      <c r="M22" s="109"/>
      <c r="N22" s="110"/>
    </row>
    <row r="23" spans="2:14">
      <c r="B23" s="30"/>
      <c r="C23" s="111"/>
      <c r="D23" s="112"/>
      <c r="E23" s="112"/>
      <c r="F23" s="112"/>
      <c r="G23" s="113"/>
      <c r="I23" s="111"/>
      <c r="J23" s="112"/>
      <c r="K23" s="112"/>
      <c r="L23" s="112"/>
      <c r="M23" s="113"/>
      <c r="N23" s="31"/>
    </row>
    <row r="24" spans="2:14">
      <c r="B24" s="30"/>
      <c r="C24" s="114"/>
      <c r="D24" s="115"/>
      <c r="E24" s="115"/>
      <c r="F24" s="115"/>
      <c r="G24" s="116"/>
      <c r="I24" s="114"/>
      <c r="J24" s="115"/>
      <c r="K24" s="115"/>
      <c r="L24" s="115"/>
      <c r="M24" s="116"/>
      <c r="N24" s="31"/>
    </row>
    <row r="25" spans="2:14">
      <c r="B25" s="30"/>
      <c r="C25" s="114"/>
      <c r="D25" s="115"/>
      <c r="E25" s="115"/>
      <c r="F25" s="115"/>
      <c r="G25" s="116"/>
      <c r="I25" s="114"/>
      <c r="J25" s="115"/>
      <c r="K25" s="115"/>
      <c r="L25" s="115"/>
      <c r="M25" s="116"/>
      <c r="N25" s="31"/>
    </row>
    <row r="26" spans="2:14">
      <c r="B26" s="30"/>
      <c r="C26" s="114"/>
      <c r="D26" s="115"/>
      <c r="E26" s="115"/>
      <c r="F26" s="115"/>
      <c r="G26" s="116"/>
      <c r="I26" s="114"/>
      <c r="J26" s="115"/>
      <c r="K26" s="115"/>
      <c r="L26" s="115"/>
      <c r="M26" s="116"/>
      <c r="N26" s="31"/>
    </row>
    <row r="27" spans="2:14">
      <c r="B27" s="30"/>
      <c r="C27" s="114"/>
      <c r="D27" s="115"/>
      <c r="E27" s="115"/>
      <c r="F27" s="115"/>
      <c r="G27" s="116"/>
      <c r="I27" s="114"/>
      <c r="J27" s="115"/>
      <c r="K27" s="115"/>
      <c r="L27" s="115"/>
      <c r="M27" s="116"/>
      <c r="N27" s="31"/>
    </row>
    <row r="28" spans="2:14">
      <c r="B28" s="30"/>
      <c r="C28" s="114"/>
      <c r="D28" s="115"/>
      <c r="E28" s="115"/>
      <c r="F28" s="115"/>
      <c r="G28" s="116"/>
      <c r="I28" s="114"/>
      <c r="J28" s="115"/>
      <c r="K28" s="115"/>
      <c r="L28" s="115"/>
      <c r="M28" s="116"/>
      <c r="N28" s="31"/>
    </row>
    <row r="29" spans="2:14">
      <c r="B29" s="30"/>
      <c r="C29" s="114"/>
      <c r="D29" s="115"/>
      <c r="E29" s="115"/>
      <c r="F29" s="115"/>
      <c r="G29" s="116"/>
      <c r="I29" s="114"/>
      <c r="J29" s="115"/>
      <c r="K29" s="115"/>
      <c r="L29" s="115"/>
      <c r="M29" s="116"/>
      <c r="N29" s="31"/>
    </row>
    <row r="30" spans="2:14">
      <c r="B30" s="30"/>
      <c r="C30" s="114"/>
      <c r="D30" s="115"/>
      <c r="E30" s="115"/>
      <c r="F30" s="115"/>
      <c r="G30" s="116"/>
      <c r="I30" s="114"/>
      <c r="J30" s="115"/>
      <c r="K30" s="115"/>
      <c r="L30" s="115"/>
      <c r="M30" s="116"/>
      <c r="N30" s="31"/>
    </row>
    <row r="31" spans="2:14">
      <c r="B31" s="30"/>
      <c r="C31" s="114"/>
      <c r="D31" s="115"/>
      <c r="E31" s="115"/>
      <c r="F31" s="115"/>
      <c r="G31" s="116"/>
      <c r="I31" s="114"/>
      <c r="J31" s="115"/>
      <c r="K31" s="115"/>
      <c r="L31" s="115"/>
      <c r="M31" s="116"/>
      <c r="N31" s="31"/>
    </row>
    <row r="32" spans="2:14" ht="15.75" thickBot="1">
      <c r="B32" s="30"/>
      <c r="C32" s="117"/>
      <c r="D32" s="118"/>
      <c r="E32" s="118"/>
      <c r="F32" s="118"/>
      <c r="G32" s="119"/>
      <c r="I32" s="117"/>
      <c r="J32" s="118"/>
      <c r="K32" s="118"/>
      <c r="L32" s="118"/>
      <c r="M32" s="119"/>
      <c r="N32" s="31"/>
    </row>
    <row r="33" spans="2:14" ht="15.75" thickBot="1">
      <c r="B33" s="32"/>
      <c r="C33" s="33"/>
      <c r="D33" s="33"/>
      <c r="E33" s="33"/>
      <c r="F33" s="33"/>
      <c r="G33" s="33"/>
      <c r="H33" s="33"/>
      <c r="I33" s="33"/>
      <c r="J33" s="33"/>
      <c r="K33" s="33"/>
      <c r="L33" s="33"/>
      <c r="M33" s="33"/>
      <c r="N33" s="34"/>
    </row>
    <row r="34" spans="2:14" ht="15.75" thickTop="1"/>
  </sheetData>
  <mergeCells count="6">
    <mergeCell ref="B3:N8"/>
    <mergeCell ref="B9:N16"/>
    <mergeCell ref="I17:N22"/>
    <mergeCell ref="C23:G32"/>
    <mergeCell ref="I23:M32"/>
    <mergeCell ref="B17:G22"/>
  </mergeCells>
  <pageMargins left="0.7" right="0.7" top="0.75" bottom="0.75" header="0.3" footer="0.3"/>
  <pageSetup paperSize="9" scale="73"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6"/>
  <sheetViews>
    <sheetView rightToLeft="1" topLeftCell="A7" zoomScale="80" zoomScaleNormal="80" workbookViewId="0">
      <selection activeCell="A4" sqref="A4:J4"/>
    </sheetView>
  </sheetViews>
  <sheetFormatPr defaultRowHeight="15"/>
  <cols>
    <col min="1" max="1" width="11.140625" bestFit="1" customWidth="1"/>
    <col min="2" max="2" width="18.5703125" customWidth="1"/>
    <col min="7" max="7" width="14" customWidth="1"/>
    <col min="8" max="8" width="14.85546875" customWidth="1"/>
    <col min="9" max="9" width="15.42578125" customWidth="1"/>
    <col min="10" max="10" width="26.28515625" customWidth="1"/>
  </cols>
  <sheetData>
    <row r="1" spans="1:10" ht="15.75" thickTop="1">
      <c r="A1" s="125" t="s">
        <v>27</v>
      </c>
      <c r="B1" s="126"/>
      <c r="C1" s="129"/>
      <c r="D1" s="130"/>
      <c r="E1" s="130"/>
      <c r="F1" s="130"/>
      <c r="G1" s="130"/>
      <c r="H1" s="130"/>
      <c r="I1" s="130"/>
      <c r="J1" s="131"/>
    </row>
    <row r="2" spans="1:10">
      <c r="A2" s="127"/>
      <c r="B2" s="128"/>
      <c r="C2" s="132"/>
      <c r="D2" s="133"/>
      <c r="E2" s="133"/>
      <c r="F2" s="133"/>
      <c r="G2" s="133"/>
      <c r="H2" s="133"/>
      <c r="I2" s="133"/>
      <c r="J2" s="134"/>
    </row>
    <row r="3" spans="1:10" ht="44.25" customHeight="1" thickBot="1">
      <c r="A3" s="25" t="s">
        <v>65</v>
      </c>
      <c r="B3" s="26"/>
      <c r="C3" s="135"/>
      <c r="D3" s="136"/>
      <c r="E3" s="136"/>
      <c r="F3" s="136"/>
      <c r="G3" s="136"/>
      <c r="H3" s="136"/>
      <c r="I3" s="136"/>
      <c r="J3" s="137"/>
    </row>
    <row r="4" spans="1:10" ht="408" customHeight="1" thickTop="1" thickBot="1">
      <c r="A4" s="138" t="s">
        <v>67</v>
      </c>
      <c r="B4" s="139"/>
      <c r="C4" s="139"/>
      <c r="D4" s="139"/>
      <c r="E4" s="139"/>
      <c r="F4" s="139"/>
      <c r="G4" s="139"/>
      <c r="H4" s="139"/>
      <c r="I4" s="139"/>
      <c r="J4" s="140"/>
    </row>
    <row r="5" spans="1:10" ht="108" customHeight="1" thickBot="1">
      <c r="A5" s="141" t="s">
        <v>61</v>
      </c>
      <c r="B5" s="142"/>
      <c r="C5" s="142"/>
      <c r="D5" s="142"/>
      <c r="E5" s="142"/>
      <c r="F5" s="142"/>
      <c r="G5" s="142"/>
      <c r="H5" s="142"/>
      <c r="I5" s="142"/>
      <c r="J5" s="143"/>
    </row>
    <row r="6" spans="1:10" ht="21.75" thickBot="1">
      <c r="A6" s="144" t="s">
        <v>28</v>
      </c>
      <c r="B6" s="145"/>
      <c r="C6" s="145" t="s">
        <v>21</v>
      </c>
      <c r="D6" s="145"/>
      <c r="E6" s="145" t="s">
        <v>29</v>
      </c>
      <c r="F6" s="145"/>
      <c r="G6" s="145" t="s">
        <v>23</v>
      </c>
      <c r="H6" s="145"/>
      <c r="I6" s="145" t="s">
        <v>24</v>
      </c>
      <c r="J6" s="145"/>
    </row>
    <row r="7" spans="1:10" ht="27" thickBot="1">
      <c r="A7" s="146">
        <v>641262384</v>
      </c>
      <c r="B7" s="147"/>
      <c r="C7" s="148">
        <v>24</v>
      </c>
      <c r="D7" s="147"/>
      <c r="E7" s="148">
        <f>A7/C7</f>
        <v>26719266</v>
      </c>
      <c r="F7" s="147"/>
      <c r="G7" s="149" t="s">
        <v>59</v>
      </c>
      <c r="H7" s="149"/>
      <c r="I7" s="149" t="s">
        <v>60</v>
      </c>
      <c r="J7" s="149"/>
    </row>
    <row r="8" spans="1:10" ht="19.5">
      <c r="A8" s="122"/>
      <c r="B8" s="123"/>
      <c r="C8" s="124"/>
      <c r="D8" s="124"/>
      <c r="E8" s="17"/>
      <c r="F8" s="17"/>
      <c r="G8" s="17"/>
      <c r="H8" s="17"/>
      <c r="I8" s="17"/>
      <c r="J8" s="18"/>
    </row>
    <row r="9" spans="1:10" ht="26.25">
      <c r="A9" s="155"/>
      <c r="B9" s="156"/>
      <c r="C9" s="156"/>
      <c r="D9" s="156"/>
      <c r="E9" s="17"/>
      <c r="F9" s="17"/>
      <c r="G9" s="157"/>
      <c r="H9" s="157"/>
      <c r="I9" s="157"/>
      <c r="J9" s="158"/>
    </row>
    <row r="10" spans="1:10" ht="26.25">
      <c r="A10" s="19"/>
      <c r="B10" s="20"/>
      <c r="C10" s="21"/>
      <c r="D10" s="20"/>
      <c r="E10" s="17"/>
      <c r="F10" s="17"/>
      <c r="G10" s="157"/>
      <c r="H10" s="157"/>
      <c r="I10" s="157"/>
      <c r="J10" s="158"/>
    </row>
    <row r="11" spans="1:10" ht="26.25">
      <c r="A11" s="19"/>
      <c r="B11" s="20"/>
      <c r="C11" s="17"/>
      <c r="D11" s="17"/>
      <c r="E11" s="17"/>
      <c r="F11" s="17"/>
      <c r="G11" s="157" t="s">
        <v>30</v>
      </c>
      <c r="H11" s="157"/>
      <c r="I11" s="157"/>
      <c r="J11" s="158"/>
    </row>
    <row r="12" spans="1:10" ht="87.75" customHeight="1" thickBot="1">
      <c r="A12" s="22"/>
      <c r="B12" s="17"/>
      <c r="C12" s="17"/>
      <c r="D12" s="17"/>
      <c r="E12" s="17"/>
      <c r="F12" s="17"/>
      <c r="G12" s="17"/>
      <c r="H12" s="17"/>
      <c r="I12" s="17"/>
      <c r="J12" s="23"/>
    </row>
    <row r="13" spans="1:10" ht="172.5" customHeight="1" thickTop="1" thickBot="1">
      <c r="A13" s="159" t="s">
        <v>66</v>
      </c>
      <c r="B13" s="160"/>
      <c r="C13" s="160"/>
      <c r="D13" s="160"/>
      <c r="E13" s="160"/>
      <c r="F13" s="160"/>
      <c r="G13" s="160"/>
      <c r="H13" s="160"/>
      <c r="I13" s="160"/>
      <c r="J13" s="161"/>
    </row>
    <row r="14" spans="1:10" ht="18.75" thickTop="1">
      <c r="A14" s="150"/>
      <c r="B14" s="151"/>
      <c r="C14" s="151"/>
      <c r="D14" s="151"/>
      <c r="E14" s="151"/>
      <c r="F14" s="151"/>
      <c r="G14" s="151"/>
      <c r="H14" s="27" t="s">
        <v>31</v>
      </c>
      <c r="I14" s="27" t="s">
        <v>32</v>
      </c>
      <c r="J14" s="28" t="s">
        <v>33</v>
      </c>
    </row>
    <row r="15" spans="1:10" ht="15.75" thickBot="1">
      <c r="A15" s="152"/>
      <c r="B15" s="153"/>
      <c r="C15" s="153"/>
      <c r="D15" s="153"/>
      <c r="E15" s="153"/>
      <c r="F15" s="153"/>
      <c r="G15" s="153"/>
      <c r="H15" s="153"/>
      <c r="I15" s="153"/>
      <c r="J15" s="154"/>
    </row>
    <row r="16" spans="1:10" ht="15.75" thickTop="1">
      <c r="A16" s="24"/>
      <c r="B16" s="24"/>
      <c r="C16" s="24"/>
      <c r="D16" s="24"/>
      <c r="E16" s="24"/>
      <c r="F16" s="24"/>
      <c r="G16" s="24"/>
      <c r="H16" s="24"/>
      <c r="I16" s="24"/>
      <c r="J16" s="24"/>
    </row>
  </sheetData>
  <mergeCells count="24">
    <mergeCell ref="A14:G15"/>
    <mergeCell ref="H15:J15"/>
    <mergeCell ref="A9:B9"/>
    <mergeCell ref="C9:D9"/>
    <mergeCell ref="G9:J9"/>
    <mergeCell ref="G10:J10"/>
    <mergeCell ref="G11:J11"/>
    <mergeCell ref="A13:J13"/>
    <mergeCell ref="A8:B8"/>
    <mergeCell ref="C8:D8"/>
    <mergeCell ref="A1:B2"/>
    <mergeCell ref="C1:J3"/>
    <mergeCell ref="A4:J4"/>
    <mergeCell ref="A5:J5"/>
    <mergeCell ref="A6:B6"/>
    <mergeCell ref="C6:D6"/>
    <mergeCell ref="E6:F6"/>
    <mergeCell ref="G6:H6"/>
    <mergeCell ref="I6:J6"/>
    <mergeCell ref="A7:B7"/>
    <mergeCell ref="C7:D7"/>
    <mergeCell ref="E7:F7"/>
    <mergeCell ref="G7:H7"/>
    <mergeCell ref="I7:J7"/>
  </mergeCells>
  <pageMargins left="0.25" right="0.25" top="0.75" bottom="0.75" header="0.3" footer="0.3"/>
  <pageSetup paperSize="9" scale="72" fitToWidth="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4"/>
  <sheetViews>
    <sheetView rightToLeft="1" tabSelected="1" view="pageBreakPreview" zoomScale="60" zoomScaleNormal="90" workbookViewId="0">
      <selection activeCell="A8" sqref="A8:B8"/>
    </sheetView>
  </sheetViews>
  <sheetFormatPr defaultRowHeight="35.25" customHeight="1"/>
  <cols>
    <col min="1" max="1" width="11.140625" bestFit="1" customWidth="1"/>
    <col min="2" max="2" width="10.140625" bestFit="1" customWidth="1"/>
    <col min="7" max="7" width="14" customWidth="1"/>
    <col min="8" max="8" width="14.85546875" customWidth="1"/>
    <col min="9" max="9" width="15.42578125" customWidth="1"/>
    <col min="10" max="10" width="26.28515625" customWidth="1"/>
  </cols>
  <sheetData>
    <row r="1" spans="1:11" ht="18" customHeight="1">
      <c r="A1" s="162" t="s">
        <v>19</v>
      </c>
      <c r="B1" s="163"/>
      <c r="C1" s="163"/>
      <c r="D1" s="164"/>
      <c r="E1" s="171"/>
      <c r="F1" s="172"/>
      <c r="G1" s="172"/>
      <c r="H1" s="172"/>
      <c r="I1" s="173"/>
      <c r="J1" s="178" t="s">
        <v>64</v>
      </c>
    </row>
    <row r="2" spans="1:11" ht="15.75" customHeight="1">
      <c r="A2" s="165"/>
      <c r="B2" s="166"/>
      <c r="C2" s="166"/>
      <c r="D2" s="167"/>
      <c r="E2" s="132"/>
      <c r="F2" s="133"/>
      <c r="G2" s="133"/>
      <c r="H2" s="133"/>
      <c r="I2" s="174"/>
      <c r="J2" s="179"/>
    </row>
    <row r="3" spans="1:11" ht="39.75" customHeight="1" thickBot="1">
      <c r="A3" s="168"/>
      <c r="B3" s="169"/>
      <c r="C3" s="169"/>
      <c r="D3" s="170"/>
      <c r="E3" s="175"/>
      <c r="F3" s="176"/>
      <c r="G3" s="176"/>
      <c r="H3" s="176"/>
      <c r="I3" s="177"/>
      <c r="J3" s="180"/>
    </row>
    <row r="4" spans="1:11" ht="342" customHeight="1" thickBot="1">
      <c r="A4" s="181" t="s">
        <v>62</v>
      </c>
      <c r="B4" s="182"/>
      <c r="C4" s="182"/>
      <c r="D4" s="182"/>
      <c r="E4" s="182"/>
      <c r="F4" s="182"/>
      <c r="G4" s="182"/>
      <c r="H4" s="182"/>
      <c r="I4" s="182"/>
      <c r="J4" s="183"/>
      <c r="K4" s="16"/>
    </row>
    <row r="5" spans="1:11" ht="161.25" customHeight="1" thickBot="1">
      <c r="A5" s="141" t="s">
        <v>63</v>
      </c>
      <c r="B5" s="142"/>
      <c r="C5" s="142"/>
      <c r="D5" s="142"/>
      <c r="E5" s="142"/>
      <c r="F5" s="142"/>
      <c r="G5" s="142"/>
      <c r="H5" s="142"/>
      <c r="I5" s="142"/>
      <c r="J5" s="143"/>
    </row>
    <row r="6" spans="1:11" ht="18" customHeight="1" thickBot="1">
      <c r="A6" s="144" t="s">
        <v>20</v>
      </c>
      <c r="B6" s="145"/>
      <c r="C6" s="145" t="s">
        <v>21</v>
      </c>
      <c r="D6" s="145"/>
      <c r="E6" s="145" t="s">
        <v>22</v>
      </c>
      <c r="F6" s="145"/>
      <c r="G6" s="145" t="s">
        <v>23</v>
      </c>
      <c r="H6" s="145"/>
      <c r="I6" s="145" t="s">
        <v>24</v>
      </c>
      <c r="J6" s="145"/>
    </row>
    <row r="7" spans="1:11" ht="27.75" customHeight="1" thickBot="1">
      <c r="A7" s="146">
        <v>641262384</v>
      </c>
      <c r="B7" s="147"/>
      <c r="C7" s="148">
        <v>24</v>
      </c>
      <c r="D7" s="147"/>
      <c r="E7" s="148">
        <f>A7/C7</f>
        <v>26719266</v>
      </c>
      <c r="F7" s="147"/>
      <c r="G7" s="149" t="s">
        <v>59</v>
      </c>
      <c r="H7" s="149"/>
      <c r="I7" s="149" t="s">
        <v>60</v>
      </c>
      <c r="J7" s="149"/>
    </row>
    <row r="8" spans="1:11" ht="35.25" customHeight="1">
      <c r="A8" s="122"/>
      <c r="B8" s="123"/>
      <c r="C8" s="124"/>
      <c r="D8" s="124"/>
      <c r="E8" s="17"/>
      <c r="F8" s="17"/>
      <c r="G8" s="17"/>
      <c r="H8" s="17"/>
      <c r="I8" s="17"/>
      <c r="J8" s="18"/>
    </row>
    <row r="9" spans="1:11" ht="35.25" customHeight="1">
      <c r="A9" s="155"/>
      <c r="B9" s="156"/>
      <c r="C9" s="156"/>
      <c r="D9" s="156"/>
      <c r="E9" s="17"/>
      <c r="F9" s="17"/>
      <c r="G9" s="157"/>
      <c r="H9" s="157"/>
      <c r="I9" s="157"/>
      <c r="J9" s="158"/>
    </row>
    <row r="10" spans="1:11" ht="35.25" customHeight="1">
      <c r="A10" s="19"/>
      <c r="B10" s="20"/>
      <c r="C10" s="21"/>
      <c r="D10" s="20"/>
      <c r="E10" s="17"/>
      <c r="F10" s="17"/>
      <c r="G10" s="157"/>
      <c r="H10" s="157"/>
      <c r="I10" s="157"/>
      <c r="J10" s="158"/>
    </row>
    <row r="11" spans="1:11" ht="21" customHeight="1" thickBot="1">
      <c r="A11" s="19"/>
      <c r="B11" s="20"/>
      <c r="C11" s="17"/>
      <c r="D11" s="17"/>
      <c r="E11" s="17"/>
      <c r="F11" s="17"/>
      <c r="G11" s="157" t="s">
        <v>25</v>
      </c>
      <c r="H11" s="157"/>
      <c r="I11" s="157"/>
      <c r="J11" s="158"/>
    </row>
    <row r="12" spans="1:11" ht="35.25" hidden="1" customHeight="1" thickBot="1">
      <c r="A12" s="22"/>
      <c r="B12" s="17"/>
      <c r="C12" s="17"/>
      <c r="D12" s="17"/>
      <c r="E12" s="17"/>
      <c r="F12" s="17"/>
      <c r="G12" s="17"/>
      <c r="H12" s="17"/>
      <c r="I12" s="17"/>
      <c r="J12" s="23"/>
    </row>
    <row r="13" spans="1:11" ht="125.25" hidden="1" customHeight="1" thickTop="1" thickBot="1">
      <c r="A13" s="159" t="s">
        <v>26</v>
      </c>
      <c r="B13" s="160"/>
      <c r="C13" s="160"/>
      <c r="D13" s="160"/>
      <c r="E13" s="160"/>
      <c r="F13" s="160"/>
      <c r="G13" s="160"/>
      <c r="H13" s="160"/>
      <c r="I13" s="160"/>
      <c r="J13" s="161"/>
      <c r="K13" s="16"/>
    </row>
    <row r="14" spans="1:11" ht="35.25" customHeight="1" thickTop="1">
      <c r="A14" s="24"/>
      <c r="B14" s="24"/>
      <c r="C14" s="24"/>
      <c r="D14" s="24"/>
      <c r="E14" s="24"/>
      <c r="F14" s="24"/>
      <c r="G14" s="24"/>
      <c r="H14" s="24"/>
      <c r="I14" s="24"/>
      <c r="J14" s="24"/>
    </row>
  </sheetData>
  <mergeCells count="23">
    <mergeCell ref="A13:J13"/>
    <mergeCell ref="A7:B7"/>
    <mergeCell ref="C7:D7"/>
    <mergeCell ref="E7:F7"/>
    <mergeCell ref="G7:H7"/>
    <mergeCell ref="I7:J7"/>
    <mergeCell ref="A8:B8"/>
    <mergeCell ref="C8:D8"/>
    <mergeCell ref="A9:B9"/>
    <mergeCell ref="C9:D9"/>
    <mergeCell ref="G9:J9"/>
    <mergeCell ref="G10:J10"/>
    <mergeCell ref="G11:J11"/>
    <mergeCell ref="A1:D3"/>
    <mergeCell ref="E1:I3"/>
    <mergeCell ref="J1:J3"/>
    <mergeCell ref="A4:J4"/>
    <mergeCell ref="A5:J5"/>
    <mergeCell ref="A6:B6"/>
    <mergeCell ref="C6:D6"/>
    <mergeCell ref="E6:F6"/>
    <mergeCell ref="G6:H6"/>
    <mergeCell ref="I6:J6"/>
  </mergeCells>
  <pageMargins left="0.7" right="0.7" top="0.75" bottom="0.75" header="0.3" footer="0.3"/>
  <pageSetup paperSize="9" scale="63"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10"/>
  <sheetViews>
    <sheetView rightToLeft="1" view="pageBreakPreview" zoomScale="160" zoomScaleNormal="100" zoomScaleSheetLayoutView="160" workbookViewId="0">
      <selection activeCell="F10" sqref="F10"/>
    </sheetView>
  </sheetViews>
  <sheetFormatPr defaultRowHeight="18.75"/>
  <cols>
    <col min="1" max="1" width="1.7109375" style="36" customWidth="1"/>
    <col min="2" max="2" width="13.140625" style="35" customWidth="1"/>
    <col min="3" max="3" width="5" style="35" hidden="1" customWidth="1"/>
    <col min="4" max="4" width="11.7109375" style="36" customWidth="1"/>
    <col min="5" max="5" width="13.42578125" style="36" customWidth="1"/>
    <col min="6" max="6" width="13.5703125" style="36" customWidth="1"/>
    <col min="7" max="7" width="10.140625" style="36" hidden="1" customWidth="1"/>
    <col min="8" max="8" width="12" style="36" customWidth="1"/>
    <col min="9" max="9" width="16" style="36" bestFit="1" customWidth="1"/>
    <col min="10" max="10" width="6.7109375" style="36" hidden="1" customWidth="1"/>
    <col min="11" max="11" width="12.7109375" style="36" hidden="1" customWidth="1"/>
    <col min="12" max="12" width="7" style="36" hidden="1" customWidth="1"/>
    <col min="13" max="13" width="12.7109375" style="36" hidden="1" customWidth="1"/>
    <col min="14" max="14" width="14.140625" style="36" hidden="1" customWidth="1"/>
    <col min="15" max="15" width="12.7109375" style="36" hidden="1" customWidth="1"/>
    <col min="16" max="16" width="14.140625" style="36" hidden="1" customWidth="1"/>
    <col min="17" max="17" width="20.28515625" style="36" customWidth="1"/>
    <col min="18" max="18" width="1.7109375" style="36" customWidth="1"/>
    <col min="19" max="19" width="15.85546875" style="36" customWidth="1"/>
    <col min="20" max="16384" width="9.140625" style="36"/>
  </cols>
  <sheetData>
    <row r="1" spans="2:19" ht="19.5" thickBot="1"/>
    <row r="2" spans="2:19" ht="21.75" customHeight="1" thickTop="1">
      <c r="B2" s="184" t="s">
        <v>37</v>
      </c>
      <c r="C2" s="185"/>
      <c r="D2" s="185"/>
      <c r="E2" s="185"/>
      <c r="F2" s="185"/>
      <c r="G2" s="185"/>
      <c r="H2" s="185"/>
      <c r="I2" s="185"/>
      <c r="J2" s="185"/>
      <c r="K2" s="185"/>
      <c r="L2" s="185"/>
      <c r="M2" s="185"/>
      <c r="N2" s="185"/>
      <c r="O2" s="185"/>
      <c r="P2" s="185"/>
      <c r="Q2" s="186"/>
      <c r="R2" s="37"/>
    </row>
    <row r="3" spans="2:19" ht="26.25" customHeight="1" thickBot="1">
      <c r="B3" s="187"/>
      <c r="C3" s="188"/>
      <c r="D3" s="188"/>
      <c r="E3" s="188"/>
      <c r="F3" s="188"/>
      <c r="G3" s="188"/>
      <c r="H3" s="188"/>
      <c r="I3" s="188"/>
      <c r="J3" s="188"/>
      <c r="K3" s="188"/>
      <c r="L3" s="188"/>
      <c r="M3" s="188"/>
      <c r="N3" s="188"/>
      <c r="O3" s="188"/>
      <c r="P3" s="188"/>
      <c r="Q3" s="189"/>
      <c r="R3" s="37"/>
    </row>
    <row r="4" spans="2:19" s="45" customFormat="1" ht="65.25" customHeight="1" thickTop="1" thickBot="1">
      <c r="B4" s="38" t="s">
        <v>38</v>
      </c>
      <c r="C4" s="39" t="s">
        <v>39</v>
      </c>
      <c r="D4" s="40" t="s">
        <v>40</v>
      </c>
      <c r="E4" s="40" t="s">
        <v>41</v>
      </c>
      <c r="F4" s="40" t="s">
        <v>42</v>
      </c>
      <c r="G4" s="40" t="s">
        <v>43</v>
      </c>
      <c r="H4" s="41" t="s">
        <v>44</v>
      </c>
      <c r="I4" s="42" t="s">
        <v>45</v>
      </c>
      <c r="J4" s="42" t="s">
        <v>46</v>
      </c>
      <c r="K4" s="42" t="s">
        <v>47</v>
      </c>
      <c r="L4" s="42" t="s">
        <v>48</v>
      </c>
      <c r="M4" s="42" t="s">
        <v>49</v>
      </c>
      <c r="N4" s="42" t="s">
        <v>50</v>
      </c>
      <c r="O4" s="42" t="s">
        <v>51</v>
      </c>
      <c r="P4" s="42" t="s">
        <v>52</v>
      </c>
      <c r="Q4" s="43" t="s">
        <v>53</v>
      </c>
      <c r="R4" s="44"/>
    </row>
    <row r="5" spans="2:19" s="35" customFormat="1" ht="35.1" customHeight="1" thickTop="1">
      <c r="B5" s="46">
        <v>0.23</v>
      </c>
      <c r="C5" s="47">
        <v>0.52</v>
      </c>
      <c r="D5" s="48">
        <v>6</v>
      </c>
      <c r="E5" s="48">
        <v>1</v>
      </c>
      <c r="F5" s="49">
        <v>8000000</v>
      </c>
      <c r="G5" s="50">
        <f>I5-F5</f>
        <v>545155.42802966572</v>
      </c>
      <c r="H5" s="48">
        <f>(PMT(B5/(12/E5),(D5/E5),-F5))</f>
        <v>1424192.5713382775</v>
      </c>
      <c r="I5" s="48">
        <f>H5*(D5/E5)</f>
        <v>8545155.4280296657</v>
      </c>
      <c r="J5" s="51">
        <v>2.5000000000000001E-2</v>
      </c>
      <c r="K5" s="48">
        <f>J5*F5</f>
        <v>200000</v>
      </c>
      <c r="L5" s="51">
        <v>0.02</v>
      </c>
      <c r="M5" s="48">
        <f>I5*L5</f>
        <v>170903.1085605933</v>
      </c>
      <c r="N5" s="48">
        <f>($F$5-PV($C$5/(12/$E$5),$D$5/$E$5,-$H$5))</f>
        <v>614527.89579046518</v>
      </c>
      <c r="O5" s="48">
        <f>(N5)*10%</f>
        <v>61452.789579046519</v>
      </c>
      <c r="P5" s="48">
        <f>N5+O5</f>
        <v>675980.68536951172</v>
      </c>
      <c r="Q5" s="52">
        <f>F5-P5</f>
        <v>7324019.3146304879</v>
      </c>
      <c r="R5" s="53"/>
      <c r="S5" s="54"/>
    </row>
    <row r="6" spans="2:19" s="35" customFormat="1" ht="35.1" customHeight="1">
      <c r="B6" s="55">
        <v>0.23</v>
      </c>
      <c r="C6" s="56">
        <v>0.52</v>
      </c>
      <c r="D6" s="57">
        <v>9</v>
      </c>
      <c r="E6" s="57">
        <v>1</v>
      </c>
      <c r="F6" s="58">
        <v>1000000000</v>
      </c>
      <c r="G6" s="59">
        <f>I6-F6</f>
        <v>98258038.589986801</v>
      </c>
      <c r="H6" s="57">
        <f>(PMT(B6/(12/E6),(D6/E6),-F6))</f>
        <v>122028670.95444298</v>
      </c>
      <c r="I6" s="57">
        <f>H6*(D6/E6)</f>
        <v>1098258038.5899868</v>
      </c>
      <c r="J6" s="60">
        <v>3.5000000000000003E-2</v>
      </c>
      <c r="K6" s="57">
        <f>F6*J6</f>
        <v>35000000</v>
      </c>
      <c r="L6" s="60">
        <v>0.02</v>
      </c>
      <c r="M6" s="57">
        <f t="shared" ref="M6:M9" si="0">I6*L6</f>
        <v>21965160.771799736</v>
      </c>
      <c r="N6" s="57">
        <f>($F$6-PV($C$6/(12/$E$6),$D$6/$E$6,-$H$6))</f>
        <v>106301871.48622835</v>
      </c>
      <c r="O6" s="57">
        <f>(N6)*10%</f>
        <v>10630187.148622835</v>
      </c>
      <c r="P6" s="57">
        <f>N6+O6</f>
        <v>116932058.63485119</v>
      </c>
      <c r="Q6" s="61">
        <f t="shared" ref="Q6" si="1">F6-P6</f>
        <v>883067941.36514878</v>
      </c>
      <c r="R6" s="53"/>
      <c r="S6" s="54"/>
    </row>
    <row r="7" spans="2:19" s="35" customFormat="1" ht="35.1" customHeight="1">
      <c r="B7" s="55">
        <v>0.23</v>
      </c>
      <c r="C7" s="56">
        <v>0.52</v>
      </c>
      <c r="D7" s="57">
        <v>12</v>
      </c>
      <c r="E7" s="57">
        <v>1</v>
      </c>
      <c r="F7" s="58">
        <v>1000000000</v>
      </c>
      <c r="G7" s="59">
        <f>I7-F7</f>
        <v>128915856.02732801</v>
      </c>
      <c r="H7" s="57">
        <f>(PMT(B7/(12/E7),(D7/E7),-F7))</f>
        <v>94076321.335610658</v>
      </c>
      <c r="I7" s="57">
        <f>H7*(D7/E7)</f>
        <v>1128915856.027328</v>
      </c>
      <c r="J7" s="60">
        <v>0.05</v>
      </c>
      <c r="K7" s="57">
        <f>J7*F7</f>
        <v>50000000</v>
      </c>
      <c r="L7" s="60">
        <v>0.02</v>
      </c>
      <c r="M7" s="57">
        <f t="shared" si="0"/>
        <v>22578317.120546561</v>
      </c>
      <c r="N7" s="57">
        <f>($F$7-PV($C$7/(12/$E$7),$D$7/$E$7,-$H$7))</f>
        <v>133920000.48365068</v>
      </c>
      <c r="O7" s="57">
        <f>(N7)*10%</f>
        <v>13392000.04836507</v>
      </c>
      <c r="P7" s="57">
        <f>N7+O7</f>
        <v>147312000.53201574</v>
      </c>
      <c r="Q7" s="61">
        <f>F7-P7</f>
        <v>852687999.4679842</v>
      </c>
      <c r="R7" s="53"/>
      <c r="S7" s="54"/>
    </row>
    <row r="8" spans="2:19" s="35" customFormat="1" ht="35.1" customHeight="1">
      <c r="B8" s="55">
        <v>0.23</v>
      </c>
      <c r="C8" s="56">
        <v>0.52</v>
      </c>
      <c r="D8" s="57">
        <v>18</v>
      </c>
      <c r="E8" s="57">
        <v>1</v>
      </c>
      <c r="F8" s="58">
        <v>1000000000</v>
      </c>
      <c r="G8" s="59">
        <f>I8-F8</f>
        <v>191858832.47336817</v>
      </c>
      <c r="H8" s="57">
        <f>(PMT(B8/(12/E8),(D8/E8),-F8))</f>
        <v>66214379.581853785</v>
      </c>
      <c r="I8" s="57">
        <f>H8*(D8/E8)</f>
        <v>1191858832.4733682</v>
      </c>
      <c r="J8" s="60">
        <v>0.06</v>
      </c>
      <c r="K8" s="57">
        <f>F8*J8</f>
        <v>60000000</v>
      </c>
      <c r="L8" s="60">
        <v>0.02</v>
      </c>
      <c r="M8" s="57">
        <f t="shared" si="0"/>
        <v>23837176.649467364</v>
      </c>
      <c r="N8" s="57">
        <f>(F8-PV(C8/(12/E8),D8/E8,-H8))</f>
        <v>184032799.17979431</v>
      </c>
      <c r="O8" s="57">
        <f>(N8)*10%</f>
        <v>18403279.91797943</v>
      </c>
      <c r="P8" s="57">
        <f>N8+O8</f>
        <v>202436079.09777373</v>
      </c>
      <c r="Q8" s="61">
        <f t="shared" ref="Q8:Q9" si="2">F8-P8</f>
        <v>797563920.90222621</v>
      </c>
      <c r="R8" s="53"/>
      <c r="S8" s="54"/>
    </row>
    <row r="9" spans="2:19" s="35" customFormat="1" ht="35.1" customHeight="1" thickBot="1">
      <c r="B9" s="62">
        <v>0.23</v>
      </c>
      <c r="C9" s="63">
        <v>0.52</v>
      </c>
      <c r="D9" s="64">
        <v>24</v>
      </c>
      <c r="E9" s="64">
        <v>1</v>
      </c>
      <c r="F9" s="65">
        <v>510000000</v>
      </c>
      <c r="G9" s="66">
        <f>I9-F9</f>
        <v>131049265.8054831</v>
      </c>
      <c r="H9" s="64">
        <f>(PMT(B9/(12/E9),(D9/E9),-F9))</f>
        <v>26710386.075228464</v>
      </c>
      <c r="I9" s="64">
        <f>H9*(D9/E9)</f>
        <v>641049265.8054831</v>
      </c>
      <c r="J9" s="67">
        <v>0.09</v>
      </c>
      <c r="K9" s="64">
        <f>F9*J9</f>
        <v>45900000</v>
      </c>
      <c r="L9" s="67">
        <v>0.02</v>
      </c>
      <c r="M9" s="64">
        <f t="shared" si="0"/>
        <v>12820985.316109663</v>
      </c>
      <c r="N9" s="64">
        <f>(F9-PV(C9/(12/E9),D9/E9,-H9))</f>
        <v>116298200.49171507</v>
      </c>
      <c r="O9" s="64">
        <f>(N9)*10%</f>
        <v>11629820.049171507</v>
      </c>
      <c r="P9" s="64">
        <f>N9+O9</f>
        <v>127928020.54088658</v>
      </c>
      <c r="Q9" s="68">
        <f t="shared" si="2"/>
        <v>382071979.45911342</v>
      </c>
      <c r="R9" s="53"/>
      <c r="S9" s="54"/>
    </row>
    <row r="10" spans="2:19" ht="71.25" customHeight="1" thickTop="1">
      <c r="N10" s="69"/>
      <c r="O10" s="69"/>
      <c r="Q10" s="70"/>
    </row>
  </sheetData>
  <sheetProtection algorithmName="SHA-512" hashValue="eySfVOkU8ODHE6zwWf1Pz+ygfxiBNVUt3QOikt/RHllpMWmM/s8050hy6gxxfE9nJzca6DvabWpkYpCxL4lJqg==" saltValue="juQm0q8kQCvgIsOxalkhdQ==" spinCount="100000" sheet="1" objects="1" scenarios="1"/>
  <mergeCells count="1">
    <mergeCell ref="B2:Q3"/>
  </mergeCells>
  <printOptions horizontalCentered="1" verticalCentered="1"/>
  <pageMargins left="0.25" right="0.25" top="0.75" bottom="0.75" header="0.3" footer="0.3"/>
  <pageSetup paperSize="9" scale="6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فرم درخواست انتقال خودکار</vt:lpstr>
      <vt:lpstr>تعهد مسدودی حساب</vt:lpstr>
      <vt:lpstr> وکالت نامه ( 2نسخه تهیه شود )</vt:lpstr>
      <vt:lpstr>درخواست تسهیلات خرید کالا</vt:lpstr>
      <vt:lpstr>جدول محاسبات</vt:lpstr>
      <vt:lpstr>'تعهد مسدودی حساب'!Print_Area</vt:lpstr>
      <vt:lpstr>'جدول محاسبات'!Print_Area</vt:lpstr>
      <vt:lpstr>'درخواست تسهیلات خرید کالا'!Print_Area</vt:lpstr>
      <vt:lpstr>'فرم درخواست انتقال خودکار'!Print_Area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2025-02-17T07:57:57Z</dcterms:modified>
</cp:coreProperties>
</file>